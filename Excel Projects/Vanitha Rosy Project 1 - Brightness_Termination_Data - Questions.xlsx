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0035HP744\Documents\2026\Data Science\Batch 148 - DAY 04 - 23 MAY 2026\Batch 148 - DAY 04 - 23 MAY 2026\Assignment\"/>
    </mc:Choice>
  </mc:AlternateContent>
  <xr:revisionPtr revIDLastSave="0" documentId="13_ncr:1_{2228BF85-77E8-4EB5-BFDC-0AF031F994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Solutions" sheetId="2" r:id="rId2"/>
    <sheet name="Pivot_termreason_desc" sheetId="4" r:id="rId3"/>
    <sheet name="Questions" sheetId="3" r:id="rId4"/>
  </sheets>
  <definedNames>
    <definedName name="_xlnm._FilterDatabase" localSheetId="0" hidden="1">Data!$M$1:$M$1486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 s="1"/>
  <c r="E8" i="1" a="1"/>
  <c r="E8" i="1" s="1"/>
  <c r="E9" i="1" a="1"/>
  <c r="E9" i="1" s="1"/>
  <c r="E10" i="1" a="1"/>
  <c r="E10" i="1" s="1"/>
  <c r="E11" i="1" a="1"/>
  <c r="E11" i="1" s="1"/>
  <c r="E12" i="1" a="1"/>
  <c r="E12" i="1" s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 s="1"/>
  <c r="E19" i="1" a="1"/>
  <c r="E19" i="1" s="1"/>
  <c r="E20" i="1" a="1"/>
  <c r="E20" i="1" s="1"/>
  <c r="E21" i="1" a="1"/>
  <c r="E21" i="1" s="1"/>
  <c r="E22" i="1" a="1"/>
  <c r="E22" i="1" s="1"/>
  <c r="E23" i="1" a="1"/>
  <c r="E23" i="1" s="1"/>
  <c r="E24" i="1" a="1"/>
  <c r="E24" i="1" s="1"/>
  <c r="E25" i="1" a="1"/>
  <c r="E25" i="1" s="1"/>
  <c r="E26" i="1" a="1"/>
  <c r="E26" i="1" s="1"/>
  <c r="E27" i="1" a="1"/>
  <c r="E27" i="1" s="1"/>
  <c r="E28" i="1" a="1"/>
  <c r="E28" i="1" s="1"/>
  <c r="E29" i="1" a="1"/>
  <c r="E29" i="1" s="1"/>
  <c r="E30" i="1" a="1"/>
  <c r="E30" i="1" s="1"/>
  <c r="E31" i="1" a="1"/>
  <c r="E31" i="1" s="1"/>
  <c r="E32" i="1" a="1"/>
  <c r="E32" i="1" s="1"/>
  <c r="E33" i="1" a="1"/>
  <c r="E33" i="1" s="1"/>
  <c r="E34" i="1" a="1"/>
  <c r="E34" i="1" s="1"/>
  <c r="E35" i="1" a="1"/>
  <c r="E35" i="1" s="1"/>
  <c r="E36" i="1" a="1"/>
  <c r="E36" i="1" s="1"/>
  <c r="E37" i="1" a="1"/>
  <c r="E37" i="1" s="1"/>
  <c r="E38" i="1" a="1"/>
  <c r="E38" i="1" s="1"/>
  <c r="E39" i="1" a="1"/>
  <c r="E39" i="1" s="1"/>
  <c r="E40" i="1" a="1"/>
  <c r="E40" i="1" s="1"/>
  <c r="E41" i="1" a="1"/>
  <c r="E41" i="1" s="1"/>
  <c r="E42" i="1" a="1"/>
  <c r="E42" i="1" s="1"/>
  <c r="E43" i="1" a="1"/>
  <c r="E43" i="1" s="1"/>
  <c r="E44" i="1" a="1"/>
  <c r="E44" i="1" s="1"/>
  <c r="E45" i="1" a="1"/>
  <c r="E45" i="1" s="1"/>
  <c r="E46" i="1" a="1"/>
  <c r="E46" i="1" s="1"/>
  <c r="E47" i="1" a="1"/>
  <c r="E47" i="1" s="1"/>
  <c r="E48" i="1" a="1"/>
  <c r="E48" i="1" s="1"/>
  <c r="E49" i="1" a="1"/>
  <c r="E49" i="1" s="1"/>
  <c r="E50" i="1" a="1"/>
  <c r="E50" i="1" s="1"/>
  <c r="E51" i="1" a="1"/>
  <c r="E51" i="1" s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 s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 s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 s="1"/>
  <c r="E70" i="1" a="1"/>
  <c r="E70" i="1" s="1"/>
  <c r="E71" i="1" a="1"/>
  <c r="E71" i="1" s="1"/>
  <c r="E72" i="1" a="1"/>
  <c r="E72" i="1" s="1"/>
  <c r="E73" i="1" a="1"/>
  <c r="E73" i="1" s="1"/>
  <c r="E74" i="1" a="1"/>
  <c r="E74" i="1" s="1"/>
  <c r="E75" i="1" a="1"/>
  <c r="E75" i="1" s="1"/>
  <c r="E76" i="1" a="1"/>
  <c r="E76" i="1" s="1"/>
  <c r="E77" i="1" a="1"/>
  <c r="E77" i="1" s="1"/>
  <c r="E78" i="1" a="1"/>
  <c r="E78" i="1" s="1"/>
  <c r="E79" i="1" a="1"/>
  <c r="E79" i="1" s="1"/>
  <c r="E80" i="1" a="1"/>
  <c r="E80" i="1" s="1"/>
  <c r="E81" i="1" a="1"/>
  <c r="E81" i="1" s="1"/>
  <c r="E82" i="1" a="1"/>
  <c r="E82" i="1" s="1"/>
  <c r="E83" i="1" a="1"/>
  <c r="E83" i="1" s="1"/>
  <c r="E84" i="1" a="1"/>
  <c r="E84" i="1" s="1"/>
  <c r="E85" i="1" a="1"/>
  <c r="E85" i="1" s="1"/>
  <c r="E86" i="1" a="1"/>
  <c r="E86" i="1" s="1"/>
  <c r="E87" i="1" a="1"/>
  <c r="E87" i="1" s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 s="1"/>
  <c r="E94" i="1" a="1"/>
  <c r="E94" i="1" s="1"/>
  <c r="E95" i="1" a="1"/>
  <c r="E95" i="1" s="1"/>
  <c r="E96" i="1" a="1"/>
  <c r="E96" i="1" s="1"/>
  <c r="E97" i="1" a="1"/>
  <c r="E97" i="1" s="1"/>
  <c r="E98" i="1" a="1"/>
  <c r="E98" i="1" s="1"/>
  <c r="E99" i="1" a="1"/>
  <c r="E99" i="1" s="1"/>
  <c r="E100" i="1" a="1"/>
  <c r="E100" i="1" s="1"/>
  <c r="E101" i="1" a="1"/>
  <c r="E101" i="1" s="1"/>
  <c r="E102" i="1" a="1"/>
  <c r="E102" i="1" s="1"/>
  <c r="E103" i="1" a="1"/>
  <c r="E103" i="1" s="1"/>
  <c r="E104" i="1" a="1"/>
  <c r="E104" i="1" s="1"/>
  <c r="E105" i="1" a="1"/>
  <c r="E105" i="1" s="1"/>
  <c r="E106" i="1" a="1"/>
  <c r="E106" i="1" s="1"/>
  <c r="E107" i="1" a="1"/>
  <c r="E107" i="1" s="1"/>
  <c r="E108" i="1" a="1"/>
  <c r="E108" i="1" s="1"/>
  <c r="E109" i="1" a="1"/>
  <c r="E109" i="1" s="1"/>
  <c r="E110" i="1" a="1"/>
  <c r="E110" i="1" s="1"/>
  <c r="E111" i="1" a="1"/>
  <c r="E111" i="1" s="1"/>
  <c r="E112" i="1" a="1"/>
  <c r="E112" i="1" s="1"/>
  <c r="E113" i="1" a="1"/>
  <c r="E113" i="1" s="1"/>
  <c r="E114" i="1" a="1"/>
  <c r="E114" i="1" s="1"/>
  <c r="E115" i="1" a="1"/>
  <c r="E115" i="1" s="1"/>
  <c r="E116" i="1" a="1"/>
  <c r="E116" i="1" s="1"/>
  <c r="E117" i="1" a="1"/>
  <c r="E117" i="1" s="1"/>
  <c r="E118" i="1" a="1"/>
  <c r="E118" i="1" s="1"/>
  <c r="E119" i="1" a="1"/>
  <c r="E119" i="1" s="1"/>
  <c r="E120" i="1" a="1"/>
  <c r="E120" i="1" s="1"/>
  <c r="E121" i="1" a="1"/>
  <c r="E121" i="1" s="1"/>
  <c r="E122" i="1" a="1"/>
  <c r="E122" i="1" s="1"/>
  <c r="E123" i="1" a="1"/>
  <c r="E123" i="1" s="1"/>
  <c r="E124" i="1" a="1"/>
  <c r="E124" i="1" s="1"/>
  <c r="E125" i="1" a="1"/>
  <c r="E125" i="1" s="1"/>
  <c r="E126" i="1" a="1"/>
  <c r="E126" i="1" s="1"/>
  <c r="E127" i="1" a="1"/>
  <c r="E127" i="1" s="1"/>
  <c r="E128" i="1" a="1"/>
  <c r="E128" i="1" s="1"/>
  <c r="E129" i="1" a="1"/>
  <c r="E129" i="1" s="1"/>
  <c r="E130" i="1" a="1"/>
  <c r="E130" i="1" s="1"/>
  <c r="E131" i="1" a="1"/>
  <c r="E131" i="1" s="1"/>
  <c r="E132" i="1" a="1"/>
  <c r="E132" i="1" s="1"/>
  <c r="E133" i="1" a="1"/>
  <c r="E133" i="1" s="1"/>
  <c r="E134" i="1" a="1"/>
  <c r="E134" i="1" s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 s="1"/>
  <c r="E141" i="1" a="1"/>
  <c r="E141" i="1" s="1"/>
  <c r="E142" i="1" a="1"/>
  <c r="E142" i="1" s="1"/>
  <c r="E143" i="1" a="1"/>
  <c r="E143" i="1" s="1"/>
  <c r="E144" i="1" a="1"/>
  <c r="E144" i="1" s="1"/>
  <c r="E145" i="1" a="1"/>
  <c r="E145" i="1" s="1"/>
  <c r="E146" i="1" a="1"/>
  <c r="E146" i="1" s="1"/>
  <c r="E147" i="1" a="1"/>
  <c r="E147" i="1" s="1"/>
  <c r="E148" i="1" a="1"/>
  <c r="E148" i="1" s="1"/>
  <c r="E149" i="1" a="1"/>
  <c r="E149" i="1" s="1"/>
  <c r="E150" i="1" a="1"/>
  <c r="E150" i="1" s="1"/>
  <c r="E151" i="1" a="1"/>
  <c r="E151" i="1" s="1"/>
  <c r="E152" i="1" a="1"/>
  <c r="E152" i="1" s="1"/>
  <c r="E153" i="1" a="1"/>
  <c r="E153" i="1" s="1"/>
  <c r="E154" i="1" a="1"/>
  <c r="E154" i="1" s="1"/>
  <c r="E155" i="1" a="1"/>
  <c r="E155" i="1" s="1"/>
  <c r="E156" i="1" a="1"/>
  <c r="E156" i="1" s="1"/>
  <c r="E157" i="1" a="1"/>
  <c r="E157" i="1" s="1"/>
  <c r="E158" i="1" a="1"/>
  <c r="E158" i="1" s="1"/>
  <c r="E159" i="1" a="1"/>
  <c r="E159" i="1" s="1"/>
  <c r="E160" i="1" a="1"/>
  <c r="E160" i="1" s="1"/>
  <c r="E161" i="1" a="1"/>
  <c r="E161" i="1" s="1"/>
  <c r="E162" i="1" a="1"/>
  <c r="E162" i="1" s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 s="1"/>
  <c r="E177" i="1" a="1"/>
  <c r="E177" i="1" s="1"/>
  <c r="E178" i="1" a="1"/>
  <c r="E178" i="1" s="1"/>
  <c r="E179" i="1" a="1"/>
  <c r="E179" i="1" s="1"/>
  <c r="E180" i="1" a="1"/>
  <c r="E180" i="1" s="1"/>
  <c r="E181" i="1" a="1"/>
  <c r="E181" i="1" s="1"/>
  <c r="E182" i="1" a="1"/>
  <c r="E182" i="1" s="1"/>
  <c r="E183" i="1" a="1"/>
  <c r="E183" i="1" s="1"/>
  <c r="E184" i="1" a="1"/>
  <c r="E184" i="1" s="1"/>
  <c r="E185" i="1" a="1"/>
  <c r="E185" i="1" s="1"/>
  <c r="E186" i="1" a="1"/>
  <c r="E186" i="1" s="1"/>
  <c r="E187" i="1" a="1"/>
  <c r="E187" i="1" s="1"/>
  <c r="E188" i="1" a="1"/>
  <c r="E188" i="1" s="1"/>
  <c r="E189" i="1" a="1"/>
  <c r="E189" i="1" s="1"/>
  <c r="E190" i="1" a="1"/>
  <c r="E190" i="1" s="1"/>
  <c r="E191" i="1" a="1"/>
  <c r="E191" i="1" s="1"/>
  <c r="E192" i="1" a="1"/>
  <c r="E192" i="1" s="1"/>
  <c r="E193" i="1" a="1"/>
  <c r="E193" i="1" s="1"/>
  <c r="E194" i="1" a="1"/>
  <c r="E194" i="1" s="1"/>
  <c r="E195" i="1" a="1"/>
  <c r="E195" i="1" s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 s="1"/>
  <c r="E204" i="1" a="1"/>
  <c r="E204" i="1" s="1"/>
  <c r="E205" i="1" a="1"/>
  <c r="E205" i="1" s="1"/>
  <c r="E206" i="1" a="1"/>
  <c r="E206" i="1" s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 s="1"/>
  <c r="E213" i="1" a="1"/>
  <c r="E213" i="1" s="1"/>
  <c r="E214" i="1" a="1"/>
  <c r="E214" i="1" s="1"/>
  <c r="E215" i="1" a="1"/>
  <c r="E215" i="1" s="1"/>
  <c r="E216" i="1" a="1"/>
  <c r="E216" i="1" s="1"/>
  <c r="E217" i="1" a="1"/>
  <c r="E217" i="1" s="1"/>
  <c r="E218" i="1" a="1"/>
  <c r="E218" i="1" s="1"/>
  <c r="E219" i="1" a="1"/>
  <c r="E219" i="1" s="1"/>
  <c r="E220" i="1" a="1"/>
  <c r="E220" i="1" s="1"/>
  <c r="E221" i="1" a="1"/>
  <c r="E221" i="1" s="1"/>
  <c r="E222" i="1" a="1"/>
  <c r="E222" i="1" s="1"/>
  <c r="E223" i="1" a="1"/>
  <c r="E223" i="1" s="1"/>
  <c r="E224" i="1" a="1"/>
  <c r="E224" i="1" s="1"/>
  <c r="E225" i="1" a="1"/>
  <c r="E225" i="1" s="1"/>
  <c r="E226" i="1" a="1"/>
  <c r="E226" i="1" s="1"/>
  <c r="E227" i="1" a="1"/>
  <c r="E227" i="1" s="1"/>
  <c r="E228" i="1" a="1"/>
  <c r="E228" i="1" s="1"/>
  <c r="E229" i="1" a="1"/>
  <c r="E229" i="1" s="1"/>
  <c r="E230" i="1" a="1"/>
  <c r="E230" i="1" s="1"/>
  <c r="E231" i="1" a="1"/>
  <c r="E231" i="1" s="1"/>
  <c r="E232" i="1" a="1"/>
  <c r="E232" i="1" s="1"/>
  <c r="E233" i="1" a="1"/>
  <c r="E233" i="1" s="1"/>
  <c r="E234" i="1" a="1"/>
  <c r="E234" i="1" s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 s="1"/>
  <c r="E249" i="1" a="1"/>
  <c r="E249" i="1" s="1"/>
  <c r="E250" i="1" a="1"/>
  <c r="E250" i="1" s="1"/>
  <c r="E251" i="1" a="1"/>
  <c r="E251" i="1" s="1"/>
  <c r="E252" i="1" a="1"/>
  <c r="E252" i="1" s="1"/>
  <c r="E253" i="1" a="1"/>
  <c r="E253" i="1" s="1"/>
  <c r="E254" i="1" a="1"/>
  <c r="E254" i="1" s="1"/>
  <c r="E255" i="1" a="1"/>
  <c r="E255" i="1" s="1"/>
  <c r="E256" i="1" a="1"/>
  <c r="E256" i="1" s="1"/>
  <c r="E257" i="1" a="1"/>
  <c r="E257" i="1" s="1"/>
  <c r="E258" i="1" a="1"/>
  <c r="E258" i="1" s="1"/>
  <c r="E259" i="1" a="1"/>
  <c r="E259" i="1" s="1"/>
  <c r="E260" i="1" a="1"/>
  <c r="E260" i="1" s="1"/>
  <c r="E261" i="1" a="1"/>
  <c r="E261" i="1" s="1"/>
  <c r="E262" i="1" a="1"/>
  <c r="E262" i="1" s="1"/>
  <c r="E263" i="1" a="1"/>
  <c r="E263" i="1" s="1"/>
  <c r="E264" i="1" a="1"/>
  <c r="E264" i="1" s="1"/>
  <c r="E265" i="1" a="1"/>
  <c r="E265" i="1" s="1"/>
  <c r="E266" i="1" a="1"/>
  <c r="E266" i="1" s="1"/>
  <c r="E267" i="1" a="1"/>
  <c r="E267" i="1" s="1"/>
  <c r="E268" i="1" a="1"/>
  <c r="E268" i="1" s="1"/>
  <c r="E269" i="1" a="1"/>
  <c r="E269" i="1" s="1"/>
  <c r="E270" i="1" a="1"/>
  <c r="E270" i="1" s="1"/>
  <c r="E271" i="1" a="1"/>
  <c r="E271" i="1" s="1"/>
  <c r="E272" i="1" a="1"/>
  <c r="E272" i="1" s="1"/>
  <c r="E273" i="1" a="1"/>
  <c r="E273" i="1" s="1"/>
  <c r="E274" i="1" a="1"/>
  <c r="E274" i="1" s="1"/>
  <c r="E275" i="1" a="1"/>
  <c r="E275" i="1" s="1"/>
  <c r="E276" i="1" a="1"/>
  <c r="E276" i="1" s="1"/>
  <c r="E277" i="1" a="1"/>
  <c r="E277" i="1" s="1"/>
  <c r="E278" i="1" a="1"/>
  <c r="E278" i="1" s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 s="1"/>
  <c r="E285" i="1" a="1"/>
  <c r="E285" i="1" s="1"/>
  <c r="E286" i="1" a="1"/>
  <c r="E286" i="1" s="1"/>
  <c r="E287" i="1" a="1"/>
  <c r="E287" i="1" s="1"/>
  <c r="E288" i="1" a="1"/>
  <c r="E288" i="1" s="1"/>
  <c r="E289" i="1" a="1"/>
  <c r="E289" i="1" s="1"/>
  <c r="E290" i="1" a="1"/>
  <c r="E290" i="1" s="1"/>
  <c r="E291" i="1" a="1"/>
  <c r="E291" i="1" s="1"/>
  <c r="E292" i="1" a="1"/>
  <c r="E292" i="1" s="1"/>
  <c r="E293" i="1" a="1"/>
  <c r="E293" i="1" s="1"/>
  <c r="E294" i="1" a="1"/>
  <c r="E294" i="1" s="1"/>
  <c r="E295" i="1" a="1"/>
  <c r="E295" i="1" s="1"/>
  <c r="E296" i="1" a="1"/>
  <c r="E296" i="1" s="1"/>
  <c r="E297" i="1" a="1"/>
  <c r="E297" i="1" s="1"/>
  <c r="E298" i="1" a="1"/>
  <c r="E298" i="1" s="1"/>
  <c r="E299" i="1" a="1"/>
  <c r="E299" i="1" s="1"/>
  <c r="E300" i="1" a="1"/>
  <c r="E300" i="1" s="1"/>
  <c r="E301" i="1" a="1"/>
  <c r="E301" i="1" s="1"/>
  <c r="E302" i="1" a="1"/>
  <c r="E302" i="1" s="1"/>
  <c r="E303" i="1" a="1"/>
  <c r="E303" i="1" s="1"/>
  <c r="E304" i="1" a="1"/>
  <c r="E304" i="1" s="1"/>
  <c r="E305" i="1" a="1"/>
  <c r="E305" i="1" s="1"/>
  <c r="E306" i="1" a="1"/>
  <c r="E306" i="1" s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 s="1"/>
  <c r="E321" i="1" a="1"/>
  <c r="E321" i="1" s="1"/>
  <c r="E322" i="1" a="1"/>
  <c r="E322" i="1" s="1"/>
  <c r="E323" i="1" a="1"/>
  <c r="E323" i="1" s="1"/>
  <c r="E324" i="1" a="1"/>
  <c r="E324" i="1" s="1"/>
  <c r="E325" i="1" a="1"/>
  <c r="E325" i="1" s="1"/>
  <c r="E326" i="1" a="1"/>
  <c r="E326" i="1" s="1"/>
  <c r="E327" i="1" a="1"/>
  <c r="E327" i="1" s="1"/>
  <c r="E328" i="1" a="1"/>
  <c r="E328" i="1" s="1"/>
  <c r="E329" i="1" a="1"/>
  <c r="E329" i="1" s="1"/>
  <c r="E330" i="1" a="1"/>
  <c r="E330" i="1" s="1"/>
  <c r="E331" i="1" a="1"/>
  <c r="E331" i="1"/>
  <c r="E332" i="1" a="1"/>
  <c r="E332" i="1"/>
  <c r="E333" i="1" a="1"/>
  <c r="E333" i="1" s="1"/>
  <c r="E334" i="1" a="1"/>
  <c r="E334" i="1" s="1"/>
  <c r="E335" i="1" a="1"/>
  <c r="E335" i="1" s="1"/>
  <c r="E336" i="1" a="1"/>
  <c r="E336" i="1"/>
  <c r="E337" i="1" a="1"/>
  <c r="E337" i="1" s="1"/>
  <c r="E338" i="1" a="1"/>
  <c r="E338" i="1" s="1"/>
  <c r="E339" i="1" a="1"/>
  <c r="E339" i="1"/>
  <c r="E340" i="1" a="1"/>
  <c r="E340" i="1" s="1"/>
  <c r="E341" i="1" a="1"/>
  <c r="E341" i="1" s="1"/>
  <c r="E342" i="1" a="1"/>
  <c r="E342" i="1" s="1"/>
  <c r="E343" i="1" a="1"/>
  <c r="E343" i="1"/>
  <c r="E344" i="1" a="1"/>
  <c r="E344" i="1"/>
  <c r="E345" i="1" a="1"/>
  <c r="E345" i="1" s="1"/>
  <c r="E346" i="1" a="1"/>
  <c r="E346" i="1"/>
  <c r="E347" i="1" a="1"/>
  <c r="E347" i="1"/>
  <c r="E348" i="1" a="1"/>
  <c r="E348" i="1"/>
  <c r="E349" i="1" a="1"/>
  <c r="E349" i="1" s="1"/>
  <c r="E350" i="1" a="1"/>
  <c r="E350" i="1"/>
  <c r="E351" i="1" a="1"/>
  <c r="E351" i="1"/>
  <c r="E352" i="1" a="1"/>
  <c r="E352" i="1"/>
  <c r="E353" i="1" a="1"/>
  <c r="E353" i="1" s="1"/>
  <c r="E354" i="1" a="1"/>
  <c r="E354" i="1"/>
  <c r="E355" i="1" a="1"/>
  <c r="E355" i="1"/>
  <c r="E356" i="1" a="1"/>
  <c r="E356" i="1" s="1"/>
  <c r="E357" i="1" a="1"/>
  <c r="E357" i="1" s="1"/>
  <c r="E358" i="1" a="1"/>
  <c r="E358" i="1"/>
  <c r="E359" i="1" a="1"/>
  <c r="E359" i="1"/>
  <c r="E360" i="1" a="1"/>
  <c r="E360" i="1" s="1"/>
  <c r="E361" i="1" a="1"/>
  <c r="E361" i="1" s="1"/>
  <c r="E362" i="1" a="1"/>
  <c r="E362" i="1"/>
  <c r="E363" i="1" a="1"/>
  <c r="E363" i="1" s="1"/>
  <c r="E364" i="1" a="1"/>
  <c r="E364" i="1" s="1"/>
  <c r="E365" i="1" a="1"/>
  <c r="E365" i="1" s="1"/>
  <c r="E366" i="1" a="1"/>
  <c r="E366" i="1" s="1"/>
  <c r="E367" i="1" a="1"/>
  <c r="E367" i="1" s="1"/>
  <c r="E368" i="1" a="1"/>
  <c r="E368" i="1" s="1"/>
  <c r="E369" i="1" a="1"/>
  <c r="E369" i="1" s="1"/>
  <c r="E370" i="1" a="1"/>
  <c r="E370" i="1" s="1"/>
  <c r="E371" i="1" a="1"/>
  <c r="E371" i="1" s="1"/>
  <c r="E372" i="1" a="1"/>
  <c r="E372" i="1" s="1"/>
  <c r="E373" i="1" a="1"/>
  <c r="E373" i="1" s="1"/>
  <c r="E374" i="1" a="1"/>
  <c r="E374" i="1" s="1"/>
  <c r="E375" i="1" a="1"/>
  <c r="E375" i="1" s="1"/>
  <c r="E376" i="1" a="1"/>
  <c r="E376" i="1" s="1"/>
  <c r="E377" i="1" a="1"/>
  <c r="E377" i="1" s="1"/>
  <c r="E378" i="1" a="1"/>
  <c r="E378" i="1" s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 s="1"/>
  <c r="E393" i="1" a="1"/>
  <c r="E393" i="1" s="1"/>
  <c r="E394" i="1" a="1"/>
  <c r="E394" i="1" s="1"/>
  <c r="E395" i="1" a="1"/>
  <c r="E395" i="1" s="1"/>
  <c r="E396" i="1" a="1"/>
  <c r="E396" i="1" s="1"/>
  <c r="E397" i="1" a="1"/>
  <c r="E397" i="1" s="1"/>
  <c r="E398" i="1" a="1"/>
  <c r="E398" i="1" s="1"/>
  <c r="E399" i="1" a="1"/>
  <c r="E399" i="1" s="1"/>
  <c r="E400" i="1" a="1"/>
  <c r="E400" i="1" s="1"/>
  <c r="E401" i="1" a="1"/>
  <c r="E401" i="1" s="1"/>
  <c r="E402" i="1" a="1"/>
  <c r="E402" i="1" s="1"/>
  <c r="E403" i="1" a="1"/>
  <c r="E403" i="1" s="1"/>
  <c r="E404" i="1" a="1"/>
  <c r="E404" i="1" s="1"/>
  <c r="E405" i="1" a="1"/>
  <c r="E405" i="1" s="1"/>
  <c r="E406" i="1" a="1"/>
  <c r="E406" i="1" s="1"/>
  <c r="E407" i="1" a="1"/>
  <c r="E407" i="1" s="1"/>
  <c r="E408" i="1" a="1"/>
  <c r="E408" i="1" s="1"/>
  <c r="E409" i="1" a="1"/>
  <c r="E409" i="1" s="1"/>
  <c r="E410" i="1" a="1"/>
  <c r="E410" i="1" s="1"/>
  <c r="E411" i="1" a="1"/>
  <c r="E411" i="1" s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 s="1"/>
  <c r="E418" i="1" a="1"/>
  <c r="E418" i="1" s="1"/>
  <c r="E419" i="1" a="1"/>
  <c r="E419" i="1" s="1"/>
  <c r="E420" i="1" a="1"/>
  <c r="E420" i="1" s="1"/>
  <c r="E421" i="1" a="1"/>
  <c r="E421" i="1" s="1"/>
  <c r="E422" i="1" a="1"/>
  <c r="E422" i="1" s="1"/>
  <c r="E423" i="1" a="1"/>
  <c r="E423" i="1" s="1"/>
  <c r="E424" i="1" a="1"/>
  <c r="E424" i="1" s="1"/>
  <c r="E425" i="1" a="1"/>
  <c r="E425" i="1" s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 s="1"/>
  <c r="E432" i="1" a="1"/>
  <c r="E432" i="1" s="1"/>
  <c r="E433" i="1" a="1"/>
  <c r="E433" i="1" s="1"/>
  <c r="E434" i="1" a="1"/>
  <c r="E434" i="1" s="1"/>
  <c r="E435" i="1" a="1"/>
  <c r="E435" i="1" s="1"/>
  <c r="E436" i="1" a="1"/>
  <c r="E436" i="1" s="1"/>
  <c r="E437" i="1" a="1"/>
  <c r="E437" i="1" s="1"/>
  <c r="E438" i="1" a="1"/>
  <c r="E438" i="1" s="1"/>
  <c r="E439" i="1" a="1"/>
  <c r="E439" i="1" s="1"/>
  <c r="E440" i="1" a="1"/>
  <c r="E440" i="1" s="1"/>
  <c r="E441" i="1" a="1"/>
  <c r="E441" i="1" s="1"/>
  <c r="E442" i="1" a="1"/>
  <c r="E442" i="1" s="1"/>
  <c r="E443" i="1" a="1"/>
  <c r="E443" i="1" s="1"/>
  <c r="E444" i="1" a="1"/>
  <c r="E444" i="1" s="1"/>
  <c r="E445" i="1" a="1"/>
  <c r="E445" i="1" s="1"/>
  <c r="E446" i="1" a="1"/>
  <c r="E446" i="1" s="1"/>
  <c r="E447" i="1" a="1"/>
  <c r="E447" i="1" s="1"/>
  <c r="E448" i="1" a="1"/>
  <c r="E448" i="1" s="1"/>
  <c r="E449" i="1" a="1"/>
  <c r="E449" i="1" s="1"/>
  <c r="E450" i="1" a="1"/>
  <c r="E450" i="1" s="1"/>
  <c r="E451" i="1" a="1"/>
  <c r="E451" i="1" s="1"/>
  <c r="E452" i="1" a="1"/>
  <c r="E452" i="1" s="1"/>
  <c r="E453" i="1" a="1"/>
  <c r="E453" i="1" s="1"/>
  <c r="E454" i="1" a="1"/>
  <c r="E454" i="1" s="1"/>
  <c r="E455" i="1" a="1"/>
  <c r="E455" i="1" s="1"/>
  <c r="E456" i="1" a="1"/>
  <c r="E456" i="1" s="1"/>
  <c r="E457" i="1" a="1"/>
  <c r="E457" i="1" s="1"/>
  <c r="E458" i="1" a="1"/>
  <c r="E458" i="1" s="1"/>
  <c r="E459" i="1" a="1"/>
  <c r="E459" i="1" s="1"/>
  <c r="E460" i="1" a="1"/>
  <c r="E460" i="1" s="1"/>
  <c r="E461" i="1" a="1"/>
  <c r="E461" i="1" s="1"/>
  <c r="E462" i="1" a="1"/>
  <c r="E462" i="1" s="1"/>
  <c r="E463" i="1" a="1"/>
  <c r="E463" i="1" s="1"/>
  <c r="E464" i="1" a="1"/>
  <c r="E464" i="1" s="1"/>
  <c r="E465" i="1" a="1"/>
  <c r="E465" i="1" s="1"/>
  <c r="E466" i="1" a="1"/>
  <c r="E466" i="1" s="1"/>
  <c r="E467" i="1" a="1"/>
  <c r="E467" i="1" s="1"/>
  <c r="E468" i="1" a="1"/>
  <c r="E468" i="1" s="1"/>
  <c r="E469" i="1" a="1"/>
  <c r="E469" i="1" s="1"/>
  <c r="E470" i="1" a="1"/>
  <c r="E470" i="1" s="1"/>
  <c r="E471" i="1" a="1"/>
  <c r="E471" i="1" s="1"/>
  <c r="E472" i="1" a="1"/>
  <c r="E472" i="1" s="1"/>
  <c r="E473" i="1" a="1"/>
  <c r="E473" i="1" s="1"/>
  <c r="E474" i="1" a="1"/>
  <c r="E474" i="1" s="1"/>
  <c r="E475" i="1" a="1"/>
  <c r="E475" i="1" s="1"/>
  <c r="E476" i="1" a="1"/>
  <c r="E476" i="1" s="1"/>
  <c r="E477" i="1" a="1"/>
  <c r="E477" i="1" s="1"/>
  <c r="E478" i="1" a="1"/>
  <c r="E478" i="1" s="1"/>
  <c r="E479" i="1" a="1"/>
  <c r="E479" i="1" s="1"/>
  <c r="E480" i="1" a="1"/>
  <c r="E480" i="1" s="1"/>
  <c r="E481" i="1" a="1"/>
  <c r="E481" i="1" s="1"/>
  <c r="E482" i="1" a="1"/>
  <c r="E482" i="1" s="1"/>
  <c r="E483" i="1" a="1"/>
  <c r="E483" i="1" s="1"/>
  <c r="E484" i="1" a="1"/>
  <c r="E484" i="1" s="1"/>
  <c r="E485" i="1" a="1"/>
  <c r="E485" i="1" s="1"/>
  <c r="E486" i="1" a="1"/>
  <c r="E486" i="1" s="1"/>
  <c r="E487" i="1" a="1"/>
  <c r="E487" i="1" s="1"/>
  <c r="E488" i="1" a="1"/>
  <c r="E488" i="1" s="1"/>
  <c r="E489" i="1" a="1"/>
  <c r="E489" i="1" s="1"/>
  <c r="E490" i="1" a="1"/>
  <c r="E490" i="1" s="1"/>
  <c r="E491" i="1" a="1"/>
  <c r="E491" i="1" s="1"/>
  <c r="E492" i="1" a="1"/>
  <c r="E492" i="1" s="1"/>
  <c r="E493" i="1" a="1"/>
  <c r="E493" i="1" s="1"/>
  <c r="E494" i="1" a="1"/>
  <c r="E494" i="1" s="1"/>
  <c r="E495" i="1" a="1"/>
  <c r="E495" i="1" s="1"/>
  <c r="E496" i="1" a="1"/>
  <c r="E496" i="1" s="1"/>
  <c r="E497" i="1" a="1"/>
  <c r="E497" i="1" s="1"/>
  <c r="E498" i="1" a="1"/>
  <c r="E498" i="1" s="1"/>
  <c r="E499" i="1" a="1"/>
  <c r="E499" i="1" s="1"/>
  <c r="E500" i="1" a="1"/>
  <c r="E500" i="1" s="1"/>
  <c r="E501" i="1" a="1"/>
  <c r="E501" i="1" s="1"/>
  <c r="E502" i="1" a="1"/>
  <c r="E502" i="1" s="1"/>
  <c r="E503" i="1" a="1"/>
  <c r="E503" i="1" s="1"/>
  <c r="E504" i="1" a="1"/>
  <c r="E504" i="1" s="1"/>
  <c r="E505" i="1" a="1"/>
  <c r="E505" i="1" s="1"/>
  <c r="E506" i="1" a="1"/>
  <c r="E506" i="1" s="1"/>
  <c r="E507" i="1" a="1"/>
  <c r="E507" i="1" s="1"/>
  <c r="E508" i="1" a="1"/>
  <c r="E508" i="1" s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E528" i="1" a="1"/>
  <c r="E528" i="1" s="1"/>
  <c r="E529" i="1" a="1"/>
  <c r="E529" i="1" s="1"/>
  <c r="E530" i="1" a="1"/>
  <c r="E530" i="1" s="1"/>
  <c r="E531" i="1" a="1"/>
  <c r="E531" i="1" s="1"/>
  <c r="E532" i="1" a="1"/>
  <c r="E532" i="1" s="1"/>
  <c r="E533" i="1" a="1"/>
  <c r="E533" i="1" s="1"/>
  <c r="E534" i="1" a="1"/>
  <c r="E534" i="1" s="1"/>
  <c r="E535" i="1" a="1"/>
  <c r="E535" i="1" s="1"/>
  <c r="E536" i="1" a="1"/>
  <c r="E536" i="1" s="1"/>
  <c r="E537" i="1" a="1"/>
  <c r="E537" i="1" s="1"/>
  <c r="E538" i="1" a="1"/>
  <c r="E538" i="1" s="1"/>
  <c r="E539" i="1" a="1"/>
  <c r="E539" i="1" s="1"/>
  <c r="E540" i="1" a="1"/>
  <c r="E540" i="1" s="1"/>
  <c r="E541" i="1" a="1"/>
  <c r="E541" i="1" s="1"/>
  <c r="E542" i="1" a="1"/>
  <c r="E542" i="1" s="1"/>
  <c r="E543" i="1" a="1"/>
  <c r="E543" i="1" s="1"/>
  <c r="E544" i="1" a="1"/>
  <c r="E544" i="1" s="1"/>
  <c r="E545" i="1" a="1"/>
  <c r="E545" i="1" s="1"/>
  <c r="E546" i="1" a="1"/>
  <c r="E546" i="1" s="1"/>
  <c r="E547" i="1" a="1"/>
  <c r="E547" i="1" s="1"/>
  <c r="E548" i="1" a="1"/>
  <c r="E548" i="1" s="1"/>
  <c r="E549" i="1" a="1"/>
  <c r="E549" i="1" s="1"/>
  <c r="E550" i="1" a="1"/>
  <c r="E550" i="1" s="1"/>
  <c r="E551" i="1" a="1"/>
  <c r="E551" i="1" s="1"/>
  <c r="E552" i="1" a="1"/>
  <c r="E552" i="1" s="1"/>
  <c r="E553" i="1" a="1"/>
  <c r="E553" i="1" s="1"/>
  <c r="E554" i="1" a="1"/>
  <c r="E554" i="1" s="1"/>
  <c r="E555" i="1" a="1"/>
  <c r="E555" i="1" s="1"/>
  <c r="E556" i="1" a="1"/>
  <c r="E556" i="1" s="1"/>
  <c r="E557" i="1" a="1"/>
  <c r="E557" i="1" s="1"/>
  <c r="E558" i="1" a="1"/>
  <c r="E558" i="1" s="1"/>
  <c r="E559" i="1" a="1"/>
  <c r="E559" i="1" s="1"/>
  <c r="E560" i="1" a="1"/>
  <c r="E560" i="1" s="1"/>
  <c r="E561" i="1" a="1"/>
  <c r="E561" i="1" s="1"/>
  <c r="E562" i="1" a="1"/>
  <c r="E562" i="1" s="1"/>
  <c r="E563" i="1" a="1"/>
  <c r="E563" i="1" s="1"/>
  <c r="E564" i="1" a="1"/>
  <c r="E564" i="1" s="1"/>
  <c r="E565" i="1" a="1"/>
  <c r="E565" i="1" s="1"/>
  <c r="E566" i="1" a="1"/>
  <c r="E566" i="1" s="1"/>
  <c r="E567" i="1" a="1"/>
  <c r="E567" i="1" s="1"/>
  <c r="E568" i="1" a="1"/>
  <c r="E568" i="1" s="1"/>
  <c r="E569" i="1" a="1"/>
  <c r="E569" i="1" s="1"/>
  <c r="E570" i="1" a="1"/>
  <c r="E570" i="1" s="1"/>
  <c r="E571" i="1" a="1"/>
  <c r="E571" i="1" s="1"/>
  <c r="E572" i="1" a="1"/>
  <c r="E572" i="1" s="1"/>
  <c r="E573" i="1" a="1"/>
  <c r="E573" i="1" s="1"/>
  <c r="E574" i="1" a="1"/>
  <c r="E574" i="1" s="1"/>
  <c r="E575" i="1" a="1"/>
  <c r="E575" i="1" s="1"/>
  <c r="E576" i="1" a="1"/>
  <c r="E576" i="1" s="1"/>
  <c r="E577" i="1" a="1"/>
  <c r="E577" i="1" s="1"/>
  <c r="E578" i="1" a="1"/>
  <c r="E578" i="1" s="1"/>
  <c r="E579" i="1" a="1"/>
  <c r="E579" i="1" s="1"/>
  <c r="E580" i="1" a="1"/>
  <c r="E580" i="1" s="1"/>
  <c r="E581" i="1" a="1"/>
  <c r="E581" i="1" s="1"/>
  <c r="E582" i="1" a="1"/>
  <c r="E582" i="1" s="1"/>
  <c r="E583" i="1" a="1"/>
  <c r="E583" i="1" s="1"/>
  <c r="E584" i="1" a="1"/>
  <c r="E584" i="1" s="1"/>
  <c r="E585" i="1" a="1"/>
  <c r="E585" i="1" s="1"/>
  <c r="E586" i="1" a="1"/>
  <c r="E586" i="1" s="1"/>
  <c r="E587" i="1" a="1"/>
  <c r="E587" i="1" s="1"/>
  <c r="E588" i="1" a="1"/>
  <c r="E588" i="1" s="1"/>
  <c r="E589" i="1" a="1"/>
  <c r="E589" i="1" s="1"/>
  <c r="E590" i="1" a="1"/>
  <c r="E590" i="1" s="1"/>
  <c r="E591" i="1" a="1"/>
  <c r="E591" i="1" s="1"/>
  <c r="E592" i="1" a="1"/>
  <c r="E592" i="1" s="1"/>
  <c r="E593" i="1" a="1"/>
  <c r="E593" i="1" s="1"/>
  <c r="E594" i="1" a="1"/>
  <c r="E594" i="1" s="1"/>
  <c r="E595" i="1" a="1"/>
  <c r="E595" i="1" s="1"/>
  <c r="E596" i="1" a="1"/>
  <c r="E596" i="1" s="1"/>
  <c r="E597" i="1" a="1"/>
  <c r="E597" i="1" s="1"/>
  <c r="E598" i="1" a="1"/>
  <c r="E598" i="1" s="1"/>
  <c r="E599" i="1" a="1"/>
  <c r="E599" i="1" s="1"/>
  <c r="E600" i="1" a="1"/>
  <c r="E600" i="1" s="1"/>
  <c r="E601" i="1" a="1"/>
  <c r="E601" i="1" s="1"/>
  <c r="E602" i="1" a="1"/>
  <c r="E602" i="1" s="1"/>
  <c r="E603" i="1" a="1"/>
  <c r="E603" i="1" s="1"/>
  <c r="E604" i="1" a="1"/>
  <c r="E604" i="1" s="1"/>
  <c r="E605" i="1" a="1"/>
  <c r="E605" i="1" s="1"/>
  <c r="E606" i="1" a="1"/>
  <c r="E606" i="1" s="1"/>
  <c r="E607" i="1" a="1"/>
  <c r="E607" i="1" s="1"/>
  <c r="E608" i="1" a="1"/>
  <c r="E608" i="1" s="1"/>
  <c r="E609" i="1" a="1"/>
  <c r="E609" i="1" s="1"/>
  <c r="E610" i="1" a="1"/>
  <c r="E610" i="1" s="1"/>
  <c r="E611" i="1" a="1"/>
  <c r="E611" i="1" s="1"/>
  <c r="E612" i="1" a="1"/>
  <c r="E612" i="1" s="1"/>
  <c r="E613" i="1" a="1"/>
  <c r="E613" i="1" s="1"/>
  <c r="E614" i="1" a="1"/>
  <c r="E614" i="1" s="1"/>
  <c r="E615" i="1" a="1"/>
  <c r="E615" i="1" s="1"/>
  <c r="E616" i="1" a="1"/>
  <c r="E616" i="1" s="1"/>
  <c r="E617" i="1" a="1"/>
  <c r="E617" i="1" s="1"/>
  <c r="E618" i="1" a="1"/>
  <c r="E618" i="1" s="1"/>
  <c r="E619" i="1" a="1"/>
  <c r="E619" i="1" s="1"/>
  <c r="E620" i="1" a="1"/>
  <c r="E620" i="1" s="1"/>
  <c r="E621" i="1" a="1"/>
  <c r="E621" i="1" s="1"/>
  <c r="E622" i="1" a="1"/>
  <c r="E622" i="1" s="1"/>
  <c r="E623" i="1" a="1"/>
  <c r="E623" i="1" s="1"/>
  <c r="E624" i="1" a="1"/>
  <c r="E624" i="1" s="1"/>
  <c r="E625" i="1" a="1"/>
  <c r="E625" i="1" s="1"/>
  <c r="E626" i="1" a="1"/>
  <c r="E626" i="1" s="1"/>
  <c r="E627" i="1" a="1"/>
  <c r="E627" i="1" s="1"/>
  <c r="E628" i="1" a="1"/>
  <c r="E628" i="1" s="1"/>
  <c r="E629" i="1" a="1"/>
  <c r="E629" i="1" s="1"/>
  <c r="E630" i="1" a="1"/>
  <c r="E630" i="1" s="1"/>
  <c r="E631" i="1" a="1"/>
  <c r="E631" i="1" s="1"/>
  <c r="E632" i="1" a="1"/>
  <c r="E632" i="1" s="1"/>
  <c r="E633" i="1" a="1"/>
  <c r="E633" i="1" s="1"/>
  <c r="E634" i="1" a="1"/>
  <c r="E634" i="1" s="1"/>
  <c r="E635" i="1" a="1"/>
  <c r="E635" i="1" s="1"/>
  <c r="E636" i="1" a="1"/>
  <c r="E636" i="1" s="1"/>
  <c r="E637" i="1" a="1"/>
  <c r="E637" i="1" s="1"/>
  <c r="E638" i="1" a="1"/>
  <c r="E638" i="1" s="1"/>
  <c r="E639" i="1" a="1"/>
  <c r="E639" i="1" s="1"/>
  <c r="E640" i="1" a="1"/>
  <c r="E640" i="1" s="1"/>
  <c r="E641" i="1" a="1"/>
  <c r="E641" i="1" s="1"/>
  <c r="E642" i="1" a="1"/>
  <c r="E642" i="1" s="1"/>
  <c r="E643" i="1" a="1"/>
  <c r="E643" i="1" s="1"/>
  <c r="E644" i="1" a="1"/>
  <c r="E644" i="1" s="1"/>
  <c r="E645" i="1" a="1"/>
  <c r="E645" i="1" s="1"/>
  <c r="E646" i="1" a="1"/>
  <c r="E646" i="1" s="1"/>
  <c r="E647" i="1" a="1"/>
  <c r="E647" i="1" s="1"/>
  <c r="E648" i="1" a="1"/>
  <c r="E648" i="1" s="1"/>
  <c r="E649" i="1" a="1"/>
  <c r="E649" i="1" s="1"/>
  <c r="E650" i="1" a="1"/>
  <c r="E650" i="1" s="1"/>
  <c r="E651" i="1" a="1"/>
  <c r="E651" i="1" s="1"/>
  <c r="E652" i="1" a="1"/>
  <c r="E652" i="1" s="1"/>
  <c r="E653" i="1" a="1"/>
  <c r="E653" i="1" s="1"/>
  <c r="E654" i="1" a="1"/>
  <c r="E654" i="1" s="1"/>
  <c r="E655" i="1" a="1"/>
  <c r="E655" i="1" s="1"/>
  <c r="E656" i="1" a="1"/>
  <c r="E656" i="1" s="1"/>
  <c r="E657" i="1" a="1"/>
  <c r="E657" i="1" s="1"/>
  <c r="E658" i="1" a="1"/>
  <c r="E658" i="1" s="1"/>
  <c r="E659" i="1" a="1"/>
  <c r="E659" i="1" s="1"/>
  <c r="E660" i="1" a="1"/>
  <c r="E660" i="1" s="1"/>
  <c r="E661" i="1" a="1"/>
  <c r="E661" i="1" s="1"/>
  <c r="E662" i="1" a="1"/>
  <c r="E662" i="1" s="1"/>
  <c r="E663" i="1" a="1"/>
  <c r="E663" i="1" s="1"/>
  <c r="E664" i="1" a="1"/>
  <c r="E664" i="1" s="1"/>
  <c r="E665" i="1" a="1"/>
  <c r="E665" i="1" s="1"/>
  <c r="E666" i="1" a="1"/>
  <c r="E666" i="1" s="1"/>
  <c r="E667" i="1" a="1"/>
  <c r="E667" i="1" s="1"/>
  <c r="E668" i="1" a="1"/>
  <c r="E668" i="1" s="1"/>
  <c r="E669" i="1" a="1"/>
  <c r="E669" i="1" s="1"/>
  <c r="E670" i="1" a="1"/>
  <c r="E670" i="1" s="1"/>
  <c r="E671" i="1" a="1"/>
  <c r="E671" i="1" s="1"/>
  <c r="E672" i="1" a="1"/>
  <c r="E672" i="1" s="1"/>
  <c r="E673" i="1" a="1"/>
  <c r="E673" i="1" s="1"/>
  <c r="E674" i="1" a="1"/>
  <c r="E674" i="1" s="1"/>
  <c r="E675" i="1" a="1"/>
  <c r="E675" i="1" s="1"/>
  <c r="E676" i="1" a="1"/>
  <c r="E676" i="1" s="1"/>
  <c r="E677" i="1" a="1"/>
  <c r="E677" i="1" s="1"/>
  <c r="E678" i="1" a="1"/>
  <c r="E678" i="1" s="1"/>
  <c r="E679" i="1" a="1"/>
  <c r="E679" i="1" s="1"/>
  <c r="E680" i="1" a="1"/>
  <c r="E680" i="1" s="1"/>
  <c r="E681" i="1" a="1"/>
  <c r="E681" i="1" s="1"/>
  <c r="E682" i="1" a="1"/>
  <c r="E682" i="1" s="1"/>
  <c r="E683" i="1" a="1"/>
  <c r="E683" i="1" s="1"/>
  <c r="E684" i="1" a="1"/>
  <c r="E684" i="1" s="1"/>
  <c r="E685" i="1" a="1"/>
  <c r="E685" i="1" s="1"/>
  <c r="E686" i="1" a="1"/>
  <c r="E686" i="1" s="1"/>
  <c r="E687" i="1" a="1"/>
  <c r="E687" i="1" s="1"/>
  <c r="E688" i="1" a="1"/>
  <c r="E688" i="1" s="1"/>
  <c r="E689" i="1" a="1"/>
  <c r="E689" i="1" s="1"/>
  <c r="E690" i="1" a="1"/>
  <c r="E690" i="1" s="1"/>
  <c r="E691" i="1" a="1"/>
  <c r="E691" i="1" s="1"/>
  <c r="E692" i="1" a="1"/>
  <c r="E692" i="1" s="1"/>
  <c r="E693" i="1" a="1"/>
  <c r="E693" i="1" s="1"/>
  <c r="E694" i="1" a="1"/>
  <c r="E694" i="1" s="1"/>
  <c r="E695" i="1" a="1"/>
  <c r="E695" i="1" s="1"/>
  <c r="E696" i="1" a="1"/>
  <c r="E696" i="1" s="1"/>
  <c r="E697" i="1" a="1"/>
  <c r="E697" i="1" s="1"/>
  <c r="E698" i="1" a="1"/>
  <c r="E698" i="1" s="1"/>
  <c r="E699" i="1" a="1"/>
  <c r="E699" i="1" s="1"/>
  <c r="E700" i="1" a="1"/>
  <c r="E700" i="1" s="1"/>
  <c r="E701" i="1" a="1"/>
  <c r="E701" i="1" s="1"/>
  <c r="E702" i="1" a="1"/>
  <c r="E702" i="1" s="1"/>
  <c r="E703" i="1" a="1"/>
  <c r="E703" i="1"/>
  <c r="E704" i="1" a="1"/>
  <c r="E704" i="1" s="1"/>
  <c r="E705" i="1" a="1"/>
  <c r="E705" i="1" s="1"/>
  <c r="E706" i="1" a="1"/>
  <c r="E706" i="1" s="1"/>
  <c r="E707" i="1" a="1"/>
  <c r="E707" i="1" s="1"/>
  <c r="E708" i="1" a="1"/>
  <c r="E708" i="1" s="1"/>
  <c r="E709" i="1" a="1"/>
  <c r="E709" i="1" s="1"/>
  <c r="E710" i="1" a="1"/>
  <c r="E710" i="1" s="1"/>
  <c r="E711" i="1" a="1"/>
  <c r="E711" i="1" s="1"/>
  <c r="E712" i="1" a="1"/>
  <c r="E712" i="1" s="1"/>
  <c r="E713" i="1" a="1"/>
  <c r="E713" i="1" s="1"/>
  <c r="E714" i="1" a="1"/>
  <c r="E714" i="1"/>
  <c r="E715" i="1" a="1"/>
  <c r="E715" i="1" s="1"/>
  <c r="E716" i="1" a="1"/>
  <c r="E716" i="1" s="1"/>
  <c r="E717" i="1" a="1"/>
  <c r="E717" i="1" s="1"/>
  <c r="E718" i="1" a="1"/>
  <c r="E718" i="1" s="1"/>
  <c r="E719" i="1" a="1"/>
  <c r="E719" i="1"/>
  <c r="E720" i="1" a="1"/>
  <c r="E720" i="1" s="1"/>
  <c r="E721" i="1" a="1"/>
  <c r="E721" i="1" s="1"/>
  <c r="E722" i="1" a="1"/>
  <c r="E722" i="1" s="1"/>
  <c r="E723" i="1" a="1"/>
  <c r="E723" i="1" s="1"/>
  <c r="E724" i="1" a="1"/>
  <c r="E724" i="1" s="1"/>
  <c r="E725" i="1" a="1"/>
  <c r="E725" i="1" s="1"/>
  <c r="E726" i="1" a="1"/>
  <c r="E726" i="1" s="1"/>
  <c r="E727" i="1" a="1"/>
  <c r="E727" i="1" s="1"/>
  <c r="E728" i="1" a="1"/>
  <c r="E728" i="1" s="1"/>
  <c r="E729" i="1" a="1"/>
  <c r="E729" i="1" s="1"/>
  <c r="E730" i="1" a="1"/>
  <c r="E730" i="1"/>
  <c r="E731" i="1" a="1"/>
  <c r="E731" i="1" s="1"/>
  <c r="E732" i="1" a="1"/>
  <c r="E732" i="1" s="1"/>
  <c r="E733" i="1" a="1"/>
  <c r="E733" i="1" s="1"/>
  <c r="E734" i="1" a="1"/>
  <c r="E734" i="1" s="1"/>
  <c r="E735" i="1" a="1"/>
  <c r="E735" i="1"/>
  <c r="E736" i="1" a="1"/>
  <c r="E736" i="1" s="1"/>
  <c r="E737" i="1" a="1"/>
  <c r="E737" i="1" s="1"/>
  <c r="E738" i="1" a="1"/>
  <c r="E738" i="1" s="1"/>
  <c r="E739" i="1" a="1"/>
  <c r="E739" i="1" s="1"/>
  <c r="E740" i="1" a="1"/>
  <c r="E740" i="1" s="1"/>
  <c r="E741" i="1" a="1"/>
  <c r="E741" i="1" s="1"/>
  <c r="E742" i="1" a="1"/>
  <c r="E742" i="1" s="1"/>
  <c r="E743" i="1" a="1"/>
  <c r="E743" i="1" s="1"/>
  <c r="E744" i="1" a="1"/>
  <c r="E744" i="1" s="1"/>
  <c r="E745" i="1" a="1"/>
  <c r="E745" i="1" s="1"/>
  <c r="E746" i="1" a="1"/>
  <c r="E746" i="1"/>
  <c r="E747" i="1" a="1"/>
  <c r="E747" i="1" s="1"/>
  <c r="E748" i="1" a="1"/>
  <c r="E748" i="1" s="1"/>
  <c r="E749" i="1" a="1"/>
  <c r="E749" i="1" s="1"/>
  <c r="E750" i="1" a="1"/>
  <c r="E750" i="1" s="1"/>
  <c r="E751" i="1" a="1"/>
  <c r="E751" i="1"/>
  <c r="E752" i="1" a="1"/>
  <c r="E752" i="1" s="1"/>
  <c r="E753" i="1" a="1"/>
  <c r="E753" i="1" s="1"/>
  <c r="E754" i="1" a="1"/>
  <c r="E754" i="1" s="1"/>
  <c r="E755" i="1" a="1"/>
  <c r="E755" i="1" s="1"/>
  <c r="E756" i="1" a="1"/>
  <c r="E756" i="1" s="1"/>
  <c r="E757" i="1" a="1"/>
  <c r="E757" i="1" s="1"/>
  <c r="E758" i="1" a="1"/>
  <c r="E758" i="1" s="1"/>
  <c r="E759" i="1" a="1"/>
  <c r="E759" i="1" s="1"/>
  <c r="E760" i="1" a="1"/>
  <c r="E760" i="1" s="1"/>
  <c r="E761" i="1" a="1"/>
  <c r="E761" i="1" s="1"/>
  <c r="E762" i="1" a="1"/>
  <c r="E762" i="1"/>
  <c r="E763" i="1" a="1"/>
  <c r="E763" i="1" s="1"/>
  <c r="E764" i="1" a="1"/>
  <c r="E764" i="1" s="1"/>
  <c r="E765" i="1" a="1"/>
  <c r="E765" i="1" s="1"/>
  <c r="E766" i="1" a="1"/>
  <c r="E766" i="1" s="1"/>
  <c r="E767" i="1" a="1"/>
  <c r="E767" i="1"/>
  <c r="E768" i="1" a="1"/>
  <c r="E768" i="1" s="1"/>
  <c r="E769" i="1" a="1"/>
  <c r="E769" i="1"/>
  <c r="E770" i="1" a="1"/>
  <c r="E770" i="1"/>
  <c r="E771" i="1" a="1"/>
  <c r="E771" i="1"/>
  <c r="E772" i="1" a="1"/>
  <c r="E772" i="1" s="1"/>
  <c r="E773" i="1" a="1"/>
  <c r="E773" i="1"/>
  <c r="E774" i="1" a="1"/>
  <c r="E774" i="1"/>
  <c r="E775" i="1" a="1"/>
  <c r="E775" i="1"/>
  <c r="E776" i="1" a="1"/>
  <c r="E776" i="1" s="1"/>
  <c r="E777" i="1" a="1"/>
  <c r="E777" i="1"/>
  <c r="E778" i="1" a="1"/>
  <c r="E778" i="1"/>
  <c r="E779" i="1" a="1"/>
  <c r="E779" i="1"/>
  <c r="E780" i="1" a="1"/>
  <c r="E780" i="1" s="1"/>
  <c r="E781" i="1" a="1"/>
  <c r="E781" i="1"/>
  <c r="E782" i="1" a="1"/>
  <c r="E782" i="1"/>
  <c r="E783" i="1" a="1"/>
  <c r="E783" i="1"/>
  <c r="E784" i="1" a="1"/>
  <c r="E784" i="1" s="1"/>
  <c r="E785" i="1" a="1"/>
  <c r="E785" i="1"/>
  <c r="E786" i="1" a="1"/>
  <c r="E786" i="1"/>
  <c r="E787" i="1" a="1"/>
  <c r="E787" i="1" s="1"/>
  <c r="E788" i="1" a="1"/>
  <c r="E788" i="1" s="1"/>
  <c r="E789" i="1" a="1"/>
  <c r="E789" i="1"/>
  <c r="E790" i="1" a="1"/>
  <c r="E790" i="1"/>
  <c r="E791" i="1" a="1"/>
  <c r="E791" i="1" s="1"/>
  <c r="E792" i="1" a="1"/>
  <c r="E792" i="1" s="1"/>
  <c r="E793" i="1" a="1"/>
  <c r="E793" i="1"/>
  <c r="E794" i="1" a="1"/>
  <c r="E794" i="1"/>
  <c r="E795" i="1" a="1"/>
  <c r="E795" i="1" s="1"/>
  <c r="E796" i="1" a="1"/>
  <c r="E796" i="1" s="1"/>
  <c r="E797" i="1" a="1"/>
  <c r="E797" i="1"/>
  <c r="E798" i="1" a="1"/>
  <c r="E798" i="1"/>
  <c r="E799" i="1" a="1"/>
  <c r="E799" i="1" s="1"/>
  <c r="E800" i="1" a="1"/>
  <c r="E800" i="1" s="1"/>
  <c r="E801" i="1" a="1"/>
  <c r="E801" i="1"/>
  <c r="E802" i="1" a="1"/>
  <c r="E802" i="1"/>
  <c r="E803" i="1" a="1"/>
  <c r="E803" i="1" s="1"/>
  <c r="E804" i="1" a="1"/>
  <c r="E804" i="1" s="1"/>
  <c r="E805" i="1" a="1"/>
  <c r="E805" i="1"/>
  <c r="E806" i="1" a="1"/>
  <c r="E806" i="1"/>
  <c r="E807" i="1" a="1"/>
  <c r="E807" i="1" s="1"/>
  <c r="E808" i="1" a="1"/>
  <c r="E808" i="1" s="1"/>
  <c r="E809" i="1" a="1"/>
  <c r="E809" i="1" s="1"/>
  <c r="E810" i="1" a="1"/>
  <c r="E810" i="1" s="1"/>
  <c r="E811" i="1" a="1"/>
  <c r="E811" i="1" s="1"/>
  <c r="E812" i="1" a="1"/>
  <c r="E812" i="1" s="1"/>
  <c r="E813" i="1" a="1"/>
  <c r="E813" i="1" s="1"/>
  <c r="E814" i="1" a="1"/>
  <c r="E814" i="1" s="1"/>
  <c r="E815" i="1" a="1"/>
  <c r="E815" i="1" s="1"/>
  <c r="E816" i="1" a="1"/>
  <c r="E816" i="1" s="1"/>
  <c r="E817" i="1" a="1"/>
  <c r="E817" i="1" s="1"/>
  <c r="E818" i="1" a="1"/>
  <c r="E818" i="1" s="1"/>
  <c r="E819" i="1" a="1"/>
  <c r="E819" i="1" s="1"/>
  <c r="E820" i="1" a="1"/>
  <c r="E820" i="1" s="1"/>
  <c r="E821" i="1" a="1"/>
  <c r="E821" i="1" s="1"/>
  <c r="E822" i="1" a="1"/>
  <c r="E822" i="1" s="1"/>
  <c r="E823" i="1" a="1"/>
  <c r="E823" i="1" s="1"/>
  <c r="E824" i="1" a="1"/>
  <c r="E824" i="1" s="1"/>
  <c r="E825" i="1" a="1"/>
  <c r="E825" i="1" s="1"/>
  <c r="E826" i="1" a="1"/>
  <c r="E826" i="1" s="1"/>
  <c r="E827" i="1" a="1"/>
  <c r="E827" i="1" s="1"/>
  <c r="E828" i="1" a="1"/>
  <c r="E828" i="1" s="1"/>
  <c r="E829" i="1" a="1"/>
  <c r="E829" i="1" s="1"/>
  <c r="E830" i="1" a="1"/>
  <c r="E830" i="1" s="1"/>
  <c r="E831" i="1" a="1"/>
  <c r="E831" i="1" s="1"/>
  <c r="E832" i="1" a="1"/>
  <c r="E832" i="1" s="1"/>
  <c r="E833" i="1" a="1"/>
  <c r="E833" i="1" s="1"/>
  <c r="E834" i="1" a="1"/>
  <c r="E834" i="1" s="1"/>
  <c r="E835" i="1" a="1"/>
  <c r="E835" i="1" s="1"/>
  <c r="E836" i="1" a="1"/>
  <c r="E836" i="1" s="1"/>
  <c r="E837" i="1" a="1"/>
  <c r="E837" i="1" s="1"/>
  <c r="E838" i="1" a="1"/>
  <c r="E838" i="1" s="1"/>
  <c r="E839" i="1" a="1"/>
  <c r="E839" i="1" s="1"/>
  <c r="E840" i="1" a="1"/>
  <c r="E840" i="1" s="1"/>
  <c r="E841" i="1" a="1"/>
  <c r="E841" i="1" s="1"/>
  <c r="E842" i="1" a="1"/>
  <c r="E842" i="1" s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 s="1"/>
  <c r="E849" i="1" a="1"/>
  <c r="E849" i="1" s="1"/>
  <c r="E850" i="1" a="1"/>
  <c r="E850" i="1" s="1"/>
  <c r="E851" i="1" a="1"/>
  <c r="E851" i="1" s="1"/>
  <c r="E852" i="1" a="1"/>
  <c r="E852" i="1" s="1"/>
  <c r="E853" i="1" a="1"/>
  <c r="E853" i="1" s="1"/>
  <c r="E854" i="1" a="1"/>
  <c r="E854" i="1" s="1"/>
  <c r="E855" i="1" a="1"/>
  <c r="E855" i="1" s="1"/>
  <c r="E856" i="1" a="1"/>
  <c r="E856" i="1" s="1"/>
  <c r="E857" i="1" a="1"/>
  <c r="E857" i="1" s="1"/>
  <c r="E858" i="1" a="1"/>
  <c r="E858" i="1" s="1"/>
  <c r="E859" i="1" a="1"/>
  <c r="E859" i="1" s="1"/>
  <c r="E860" i="1" a="1"/>
  <c r="E860" i="1" s="1"/>
  <c r="E861" i="1" a="1"/>
  <c r="E861" i="1" s="1"/>
  <c r="E862" i="1" a="1"/>
  <c r="E862" i="1" s="1"/>
  <c r="E863" i="1" a="1"/>
  <c r="E863" i="1" s="1"/>
  <c r="E864" i="1" a="1"/>
  <c r="E864" i="1" s="1"/>
  <c r="E865" i="1" a="1"/>
  <c r="E865" i="1" s="1"/>
  <c r="E866" i="1" a="1"/>
  <c r="E866" i="1" s="1"/>
  <c r="E867" i="1" a="1"/>
  <c r="E867" i="1" s="1"/>
  <c r="E868" i="1" a="1"/>
  <c r="E868" i="1" s="1"/>
  <c r="E869" i="1" a="1"/>
  <c r="E869" i="1" s="1"/>
  <c r="E870" i="1" a="1"/>
  <c r="E870" i="1" s="1"/>
  <c r="E871" i="1" a="1"/>
  <c r="E871" i="1" s="1"/>
  <c r="E872" i="1" a="1"/>
  <c r="E872" i="1" s="1"/>
  <c r="E873" i="1" a="1"/>
  <c r="E873" i="1" s="1"/>
  <c r="E874" i="1" a="1"/>
  <c r="E874" i="1" s="1"/>
  <c r="E875" i="1" a="1"/>
  <c r="E875" i="1" s="1"/>
  <c r="E876" i="1" a="1"/>
  <c r="E876" i="1" s="1"/>
  <c r="E877" i="1" a="1"/>
  <c r="E877" i="1" s="1"/>
  <c r="E878" i="1" a="1"/>
  <c r="E878" i="1" s="1"/>
  <c r="E879" i="1" a="1"/>
  <c r="E879" i="1" s="1"/>
  <c r="E880" i="1" a="1"/>
  <c r="E880" i="1" s="1"/>
  <c r="E881" i="1" a="1"/>
  <c r="E881" i="1" s="1"/>
  <c r="E882" i="1" a="1"/>
  <c r="E882" i="1" s="1"/>
  <c r="E883" i="1" a="1"/>
  <c r="E883" i="1" s="1"/>
  <c r="E884" i="1" a="1"/>
  <c r="E884" i="1" s="1"/>
  <c r="E885" i="1" a="1"/>
  <c r="E885" i="1" s="1"/>
  <c r="E886" i="1" a="1"/>
  <c r="E886" i="1" s="1"/>
  <c r="E887" i="1" a="1"/>
  <c r="E887" i="1" s="1"/>
  <c r="E888" i="1" a="1"/>
  <c r="E888" i="1" s="1"/>
  <c r="E889" i="1" a="1"/>
  <c r="E889" i="1" s="1"/>
  <c r="E890" i="1" a="1"/>
  <c r="E890" i="1" s="1"/>
  <c r="E891" i="1" a="1"/>
  <c r="E891" i="1" s="1"/>
  <c r="E892" i="1" a="1"/>
  <c r="E892" i="1" s="1"/>
  <c r="E893" i="1" a="1"/>
  <c r="E893" i="1" s="1"/>
  <c r="E894" i="1" a="1"/>
  <c r="E894" i="1" s="1"/>
  <c r="E895" i="1" a="1"/>
  <c r="E895" i="1" s="1"/>
  <c r="E896" i="1" a="1"/>
  <c r="E896" i="1" s="1"/>
  <c r="E897" i="1" a="1"/>
  <c r="E897" i="1" s="1"/>
  <c r="E898" i="1" a="1"/>
  <c r="E898" i="1" s="1"/>
  <c r="E899" i="1" a="1"/>
  <c r="E899" i="1" s="1"/>
  <c r="E900" i="1" a="1"/>
  <c r="E900" i="1" s="1"/>
  <c r="E901" i="1" a="1"/>
  <c r="E901" i="1" s="1"/>
  <c r="E902" i="1" a="1"/>
  <c r="E902" i="1" s="1"/>
  <c r="E903" i="1" a="1"/>
  <c r="E903" i="1" s="1"/>
  <c r="E904" i="1" a="1"/>
  <c r="E904" i="1" s="1"/>
  <c r="E905" i="1" a="1"/>
  <c r="E905" i="1" s="1"/>
  <c r="E906" i="1" a="1"/>
  <c r="E906" i="1" s="1"/>
  <c r="E907" i="1" a="1"/>
  <c r="E907" i="1" s="1"/>
  <c r="E908" i="1" a="1"/>
  <c r="E908" i="1" s="1"/>
  <c r="E909" i="1" a="1"/>
  <c r="E909" i="1" s="1"/>
  <c r="E910" i="1" a="1"/>
  <c r="E910" i="1" s="1"/>
  <c r="E911" i="1" a="1"/>
  <c r="E911" i="1" s="1"/>
  <c r="E912" i="1" a="1"/>
  <c r="E912" i="1" s="1"/>
  <c r="E913" i="1" a="1"/>
  <c r="E913" i="1" s="1"/>
  <c r="E914" i="1" a="1"/>
  <c r="E914" i="1" s="1"/>
  <c r="E915" i="1" a="1"/>
  <c r="E915" i="1" s="1"/>
  <c r="E916" i="1" a="1"/>
  <c r="E916" i="1" s="1"/>
  <c r="E917" i="1" a="1"/>
  <c r="E917" i="1" s="1"/>
  <c r="E918" i="1" a="1"/>
  <c r="E918" i="1" s="1"/>
  <c r="E919" i="1" a="1"/>
  <c r="E919" i="1" s="1"/>
  <c r="E920" i="1" a="1"/>
  <c r="E920" i="1" s="1"/>
  <c r="E921" i="1" a="1"/>
  <c r="E921" i="1" s="1"/>
  <c r="E922" i="1" a="1"/>
  <c r="E922" i="1" s="1"/>
  <c r="E923" i="1" a="1"/>
  <c r="E923" i="1" s="1"/>
  <c r="E924" i="1" a="1"/>
  <c r="E924" i="1" s="1"/>
  <c r="E925" i="1" a="1"/>
  <c r="E925" i="1" s="1"/>
  <c r="E926" i="1" a="1"/>
  <c r="E926" i="1" s="1"/>
  <c r="E927" i="1" a="1"/>
  <c r="E927" i="1" s="1"/>
  <c r="E928" i="1" a="1"/>
  <c r="E928" i="1" s="1"/>
  <c r="E929" i="1" a="1"/>
  <c r="E929" i="1" s="1"/>
  <c r="E930" i="1" a="1"/>
  <c r="E930" i="1" s="1"/>
  <c r="E931" i="1" a="1"/>
  <c r="E931" i="1" s="1"/>
  <c r="E932" i="1" a="1"/>
  <c r="E932" i="1" s="1"/>
  <c r="E933" i="1" a="1"/>
  <c r="E933" i="1" s="1"/>
  <c r="E934" i="1" a="1"/>
  <c r="E934" i="1" s="1"/>
  <c r="E935" i="1" a="1"/>
  <c r="E935" i="1" s="1"/>
  <c r="E936" i="1" a="1"/>
  <c r="E936" i="1" s="1"/>
  <c r="E937" i="1" a="1"/>
  <c r="E937" i="1" s="1"/>
  <c r="E938" i="1" a="1"/>
  <c r="E938" i="1" s="1"/>
  <c r="E939" i="1" a="1"/>
  <c r="E939" i="1" s="1"/>
  <c r="E940" i="1" a="1"/>
  <c r="E940" i="1" s="1"/>
  <c r="E941" i="1" a="1"/>
  <c r="E941" i="1" s="1"/>
  <c r="E942" i="1" a="1"/>
  <c r="E942" i="1" s="1"/>
  <c r="E943" i="1" a="1"/>
  <c r="E943" i="1" s="1"/>
  <c r="E944" i="1" a="1"/>
  <c r="E944" i="1" s="1"/>
  <c r="E945" i="1" a="1"/>
  <c r="E945" i="1" s="1"/>
  <c r="E946" i="1" a="1"/>
  <c r="E946" i="1" s="1"/>
  <c r="E947" i="1" a="1"/>
  <c r="E947" i="1" s="1"/>
  <c r="E948" i="1" a="1"/>
  <c r="E948" i="1" s="1"/>
  <c r="E949" i="1" a="1"/>
  <c r="E949" i="1" s="1"/>
  <c r="E950" i="1" a="1"/>
  <c r="E950" i="1" s="1"/>
  <c r="E951" i="1" a="1"/>
  <c r="E951" i="1" s="1"/>
  <c r="E952" i="1" a="1"/>
  <c r="E952" i="1" s="1"/>
  <c r="E953" i="1" a="1"/>
  <c r="E953" i="1" s="1"/>
  <c r="E954" i="1" a="1"/>
  <c r="E954" i="1" s="1"/>
  <c r="E955" i="1" a="1"/>
  <c r="E955" i="1" s="1"/>
  <c r="E956" i="1" a="1"/>
  <c r="E956" i="1" s="1"/>
  <c r="E957" i="1" a="1"/>
  <c r="E957" i="1" s="1"/>
  <c r="E958" i="1" a="1"/>
  <c r="E958" i="1" s="1"/>
  <c r="E959" i="1" a="1"/>
  <c r="E959" i="1" s="1"/>
  <c r="E960" i="1" a="1"/>
  <c r="E960" i="1" s="1"/>
  <c r="E961" i="1" a="1"/>
  <c r="E961" i="1" s="1"/>
  <c r="E962" i="1" a="1"/>
  <c r="E962" i="1" s="1"/>
  <c r="E963" i="1" a="1"/>
  <c r="E963" i="1" s="1"/>
  <c r="E964" i="1" a="1"/>
  <c r="E964" i="1" s="1"/>
  <c r="E965" i="1" a="1"/>
  <c r="E965" i="1" s="1"/>
  <c r="E966" i="1" a="1"/>
  <c r="E966" i="1" s="1"/>
  <c r="E967" i="1" a="1"/>
  <c r="E967" i="1" s="1"/>
  <c r="E968" i="1" a="1"/>
  <c r="E968" i="1" s="1"/>
  <c r="E969" i="1" a="1"/>
  <c r="E969" i="1" s="1"/>
  <c r="E970" i="1" a="1"/>
  <c r="E970" i="1" s="1"/>
  <c r="E971" i="1" a="1"/>
  <c r="E971" i="1" s="1"/>
  <c r="E972" i="1" a="1"/>
  <c r="E972" i="1" s="1"/>
  <c r="E973" i="1" a="1"/>
  <c r="E973" i="1" s="1"/>
  <c r="E974" i="1" a="1"/>
  <c r="E974" i="1" s="1"/>
  <c r="E975" i="1" a="1"/>
  <c r="E975" i="1" s="1"/>
  <c r="E976" i="1" a="1"/>
  <c r="E976" i="1" s="1"/>
  <c r="E977" i="1" a="1"/>
  <c r="E977" i="1" s="1"/>
  <c r="E978" i="1" a="1"/>
  <c r="E978" i="1" s="1"/>
  <c r="E979" i="1" a="1"/>
  <c r="E979" i="1" s="1"/>
  <c r="E980" i="1" a="1"/>
  <c r="E980" i="1" s="1"/>
  <c r="E981" i="1" a="1"/>
  <c r="E981" i="1" s="1"/>
  <c r="E982" i="1" a="1"/>
  <c r="E982" i="1" s="1"/>
  <c r="E983" i="1" a="1"/>
  <c r="E983" i="1" s="1"/>
  <c r="E984" i="1" a="1"/>
  <c r="E984" i="1" s="1"/>
  <c r="E985" i="1" a="1"/>
  <c r="E985" i="1" s="1"/>
  <c r="E986" i="1" a="1"/>
  <c r="E986" i="1" s="1"/>
  <c r="E987" i="1" a="1"/>
  <c r="E987" i="1" s="1"/>
  <c r="E988" i="1" a="1"/>
  <c r="E988" i="1" s="1"/>
  <c r="E989" i="1" a="1"/>
  <c r="E989" i="1" s="1"/>
  <c r="E990" i="1" a="1"/>
  <c r="E990" i="1" s="1"/>
  <c r="E991" i="1" a="1"/>
  <c r="E991" i="1" s="1"/>
  <c r="E992" i="1" a="1"/>
  <c r="E992" i="1" s="1"/>
  <c r="E993" i="1" a="1"/>
  <c r="E993" i="1" s="1"/>
  <c r="E994" i="1" a="1"/>
  <c r="E994" i="1" s="1"/>
  <c r="E995" i="1" a="1"/>
  <c r="E995" i="1" s="1"/>
  <c r="E996" i="1" a="1"/>
  <c r="E996" i="1" s="1"/>
  <c r="E997" i="1" a="1"/>
  <c r="E997" i="1" s="1"/>
  <c r="E998" i="1" a="1"/>
  <c r="E998" i="1" s="1"/>
  <c r="E999" i="1" a="1"/>
  <c r="E999" i="1" s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 s="1"/>
  <c r="E1005" i="1" a="1"/>
  <c r="E1005" i="1" s="1"/>
  <c r="E1006" i="1" a="1"/>
  <c r="E1006" i="1" s="1"/>
  <c r="E1007" i="1" a="1"/>
  <c r="E1007" i="1" s="1"/>
  <c r="E1008" i="1" a="1"/>
  <c r="E1008" i="1" s="1"/>
  <c r="E1009" i="1" a="1"/>
  <c r="E1009" i="1" s="1"/>
  <c r="E1010" i="1" a="1"/>
  <c r="E1010" i="1" s="1"/>
  <c r="E1011" i="1" a="1"/>
  <c r="E1011" i="1" s="1"/>
  <c r="E1012" i="1" a="1"/>
  <c r="E1012" i="1" s="1"/>
  <c r="E1013" i="1" a="1"/>
  <c r="E1013" i="1" s="1"/>
  <c r="E1014" i="1" a="1"/>
  <c r="E1014" i="1" s="1"/>
  <c r="E1015" i="1" a="1"/>
  <c r="E1015" i="1" s="1"/>
  <c r="E1016" i="1" a="1"/>
  <c r="E1016" i="1" s="1"/>
  <c r="E1017" i="1" a="1"/>
  <c r="E1017" i="1" s="1"/>
  <c r="E1018" i="1" a="1"/>
  <c r="E1018" i="1" s="1"/>
  <c r="E1019" i="1" a="1"/>
  <c r="E1019" i="1" s="1"/>
  <c r="E1020" i="1" a="1"/>
  <c r="E1020" i="1" s="1"/>
  <c r="E1021" i="1" a="1"/>
  <c r="E1021" i="1" s="1"/>
  <c r="E1022" i="1" a="1"/>
  <c r="E1022" i="1" s="1"/>
  <c r="E1023" i="1" a="1"/>
  <c r="E1023" i="1" s="1"/>
  <c r="E1024" i="1" a="1"/>
  <c r="E1024" i="1" s="1"/>
  <c r="E1025" i="1" a="1"/>
  <c r="E1025" i="1" s="1"/>
  <c r="E1026" i="1" a="1"/>
  <c r="E1026" i="1" s="1"/>
  <c r="E1027" i="1" a="1"/>
  <c r="E1027" i="1" s="1"/>
  <c r="E1028" i="1" a="1"/>
  <c r="E1028" i="1" s="1"/>
  <c r="E1029" i="1" a="1"/>
  <c r="E1029" i="1" s="1"/>
  <c r="E1030" i="1" a="1"/>
  <c r="E1030" i="1" s="1"/>
  <c r="E1031" i="1" a="1"/>
  <c r="E1031" i="1" s="1"/>
  <c r="E1032" i="1" a="1"/>
  <c r="E1032" i="1" s="1"/>
  <c r="E1033" i="1" a="1"/>
  <c r="E1033" i="1" s="1"/>
  <c r="E1034" i="1" a="1"/>
  <c r="E1034" i="1" s="1"/>
  <c r="E1035" i="1" a="1"/>
  <c r="E1035" i="1" s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 s="1"/>
  <c r="E1041" i="1" a="1"/>
  <c r="E1041" i="1" s="1"/>
  <c r="E1042" i="1" a="1"/>
  <c r="E1042" i="1" s="1"/>
  <c r="E1043" i="1" a="1"/>
  <c r="E1043" i="1" s="1"/>
  <c r="E1044" i="1" a="1"/>
  <c r="E1044" i="1" s="1"/>
  <c r="E1045" i="1" a="1"/>
  <c r="E1045" i="1" s="1"/>
  <c r="E1046" i="1" a="1"/>
  <c r="E1046" i="1" s="1"/>
  <c r="E1047" i="1" a="1"/>
  <c r="E1047" i="1" s="1"/>
  <c r="E1048" i="1" a="1"/>
  <c r="E1048" i="1" s="1"/>
  <c r="E1049" i="1" a="1"/>
  <c r="E1049" i="1" s="1"/>
  <c r="E1050" i="1" a="1"/>
  <c r="E1050" i="1" s="1"/>
  <c r="E1051" i="1" a="1"/>
  <c r="E1051" i="1" s="1"/>
  <c r="E1052" i="1" a="1"/>
  <c r="E1052" i="1" s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 s="1"/>
  <c r="E1059" i="1" a="1"/>
  <c r="E1059" i="1" s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 s="1"/>
  <c r="E1065" i="1" a="1"/>
  <c r="E1065" i="1" s="1"/>
  <c r="E1066" i="1" a="1"/>
  <c r="E1066" i="1" s="1"/>
  <c r="E1067" i="1" a="1"/>
  <c r="E1067" i="1" s="1"/>
  <c r="E1068" i="1" a="1"/>
  <c r="E1068" i="1" s="1"/>
  <c r="E1069" i="1" a="1"/>
  <c r="E1069" i="1" s="1"/>
  <c r="E1070" i="1" a="1"/>
  <c r="E1070" i="1" s="1"/>
  <c r="E1071" i="1" a="1"/>
  <c r="E1071" i="1" s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 s="1"/>
  <c r="E1077" i="1" a="1"/>
  <c r="E1077" i="1" s="1"/>
  <c r="E1078" i="1" a="1"/>
  <c r="E1078" i="1" s="1"/>
  <c r="E1079" i="1" a="1"/>
  <c r="E1079" i="1" s="1"/>
  <c r="E1080" i="1" a="1"/>
  <c r="E1080" i="1" s="1"/>
  <c r="E1081" i="1" a="1"/>
  <c r="E1081" i="1" s="1"/>
  <c r="E1082" i="1" a="1"/>
  <c r="E1082" i="1" s="1"/>
  <c r="E1083" i="1" a="1"/>
  <c r="E1083" i="1" s="1"/>
  <c r="E1084" i="1" a="1"/>
  <c r="E1084" i="1" s="1"/>
  <c r="E1085" i="1" a="1"/>
  <c r="E1085" i="1" s="1"/>
  <c r="E1086" i="1" a="1"/>
  <c r="E1086" i="1" s="1"/>
  <c r="E1087" i="1" a="1"/>
  <c r="E1087" i="1" s="1"/>
  <c r="E1088" i="1" a="1"/>
  <c r="E1088" i="1" s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 s="1"/>
  <c r="E1095" i="1" a="1"/>
  <c r="E1095" i="1" s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 s="1"/>
  <c r="E1101" i="1" a="1"/>
  <c r="E1101" i="1" s="1"/>
  <c r="E1102" i="1" a="1"/>
  <c r="E1102" i="1" s="1"/>
  <c r="E1103" i="1" a="1"/>
  <c r="E1103" i="1" s="1"/>
  <c r="E1104" i="1" a="1"/>
  <c r="E1104" i="1" s="1"/>
  <c r="E1105" i="1" a="1"/>
  <c r="E1105" i="1" s="1"/>
  <c r="E1106" i="1" a="1"/>
  <c r="E1106" i="1" s="1"/>
  <c r="E1107" i="1" a="1"/>
  <c r="E1107" i="1" s="1"/>
  <c r="E1108" i="1" a="1"/>
  <c r="E1108" i="1" s="1"/>
  <c r="E1109" i="1" a="1"/>
  <c r="E1109" i="1" s="1"/>
  <c r="E1110" i="1" a="1"/>
  <c r="E1110" i="1" s="1"/>
  <c r="E1111" i="1" a="1"/>
  <c r="E1111" i="1" s="1"/>
  <c r="E1112" i="1" a="1"/>
  <c r="E1112" i="1" s="1"/>
  <c r="E1113" i="1" a="1"/>
  <c r="E1113" i="1" s="1"/>
  <c r="E1114" i="1" a="1"/>
  <c r="E1114" i="1" s="1"/>
  <c r="E1115" i="1" a="1"/>
  <c r="E1115" i="1" s="1"/>
  <c r="E1116" i="1" a="1"/>
  <c r="E1116" i="1" s="1"/>
  <c r="E1117" i="1" a="1"/>
  <c r="E1117" i="1" s="1"/>
  <c r="E1118" i="1" a="1"/>
  <c r="E1118" i="1" s="1"/>
  <c r="E1119" i="1" a="1"/>
  <c r="E1119" i="1" s="1"/>
  <c r="E1120" i="1" a="1"/>
  <c r="E1120" i="1" s="1"/>
  <c r="E1121" i="1" a="1"/>
  <c r="E1121" i="1" s="1"/>
  <c r="E1122" i="1" a="1"/>
  <c r="E1122" i="1" s="1"/>
  <c r="E1123" i="1" a="1"/>
  <c r="E1123" i="1" s="1"/>
  <c r="E1124" i="1" a="1"/>
  <c r="E1124" i="1" s="1"/>
  <c r="E1125" i="1" a="1"/>
  <c r="E1125" i="1" s="1"/>
  <c r="E1126" i="1" a="1"/>
  <c r="E1126" i="1" s="1"/>
  <c r="E1127" i="1" a="1"/>
  <c r="E1127" i="1" s="1"/>
  <c r="E1128" i="1" a="1"/>
  <c r="E1128" i="1" s="1"/>
  <c r="E1129" i="1" a="1"/>
  <c r="E1129" i="1" s="1"/>
  <c r="E1130" i="1" a="1"/>
  <c r="E1130" i="1" s="1"/>
  <c r="E1131" i="1" a="1"/>
  <c r="E1131" i="1" s="1"/>
  <c r="E1132" i="1" a="1"/>
  <c r="E1132" i="1" s="1"/>
  <c r="E1133" i="1" a="1"/>
  <c r="E1133" i="1" s="1"/>
  <c r="E1134" i="1" a="1"/>
  <c r="E1134" i="1" s="1"/>
  <c r="E1135" i="1" a="1"/>
  <c r="E1135" i="1" s="1"/>
  <c r="E1136" i="1" a="1"/>
  <c r="E1136" i="1" s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 s="1"/>
  <c r="E1143" i="1" a="1"/>
  <c r="E1143" i="1" s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 s="1"/>
  <c r="E1150" i="1" a="1"/>
  <c r="E1150" i="1" s="1"/>
  <c r="E1151" i="1" a="1"/>
  <c r="E1151" i="1" s="1"/>
  <c r="E1152" i="1" a="1"/>
  <c r="E1152" i="1" s="1"/>
  <c r="E1153" i="1" a="1"/>
  <c r="E1153" i="1" s="1"/>
  <c r="E1154" i="1" a="1"/>
  <c r="E1154" i="1" s="1"/>
  <c r="E1155" i="1" a="1"/>
  <c r="E1155" i="1" s="1"/>
  <c r="E1156" i="1" a="1"/>
  <c r="E1156" i="1" s="1"/>
  <c r="E1157" i="1" a="1"/>
  <c r="E1157" i="1" s="1"/>
  <c r="E1158" i="1" a="1"/>
  <c r="E1158" i="1" s="1"/>
  <c r="E1159" i="1" a="1"/>
  <c r="E1159" i="1" s="1"/>
  <c r="E1160" i="1" a="1"/>
  <c r="E1160" i="1" s="1"/>
  <c r="E1161" i="1" a="1"/>
  <c r="E1161" i="1" s="1"/>
  <c r="E1162" i="1" a="1"/>
  <c r="E1162" i="1" s="1"/>
  <c r="E1163" i="1" a="1"/>
  <c r="E1163" i="1" s="1"/>
  <c r="E1164" i="1" a="1"/>
  <c r="E1164" i="1" s="1"/>
  <c r="E1165" i="1" a="1"/>
  <c r="E1165" i="1" s="1"/>
  <c r="E1166" i="1" a="1"/>
  <c r="E1166" i="1" s="1"/>
  <c r="E1167" i="1" a="1"/>
  <c r="E1167" i="1" s="1"/>
  <c r="E1168" i="1" a="1"/>
  <c r="E1168" i="1" s="1"/>
  <c r="E1169" i="1" a="1"/>
  <c r="E1169" i="1" s="1"/>
  <c r="E1170" i="1" a="1"/>
  <c r="E1170" i="1" s="1"/>
  <c r="E1171" i="1" a="1"/>
  <c r="E1171" i="1" s="1"/>
  <c r="E1172" i="1" a="1"/>
  <c r="E1172" i="1" s="1"/>
  <c r="E1173" i="1" a="1"/>
  <c r="E1173" i="1" s="1"/>
  <c r="E1174" i="1" a="1"/>
  <c r="E1174" i="1" s="1"/>
  <c r="E1175" i="1" a="1"/>
  <c r="E1175" i="1" s="1"/>
  <c r="E1176" i="1" a="1"/>
  <c r="E1176" i="1" s="1"/>
  <c r="E1177" i="1" a="1"/>
  <c r="E1177" i="1" s="1"/>
  <c r="E1178" i="1" a="1"/>
  <c r="E1178" i="1" s="1"/>
  <c r="E1179" i="1" a="1"/>
  <c r="E1179" i="1" s="1"/>
  <c r="E1180" i="1" a="1"/>
  <c r="E1180" i="1" s="1"/>
  <c r="E1181" i="1" a="1"/>
  <c r="E1181" i="1" s="1"/>
  <c r="E1182" i="1" a="1"/>
  <c r="E1182" i="1" s="1"/>
  <c r="E1183" i="1" a="1"/>
  <c r="E1183" i="1" s="1"/>
  <c r="E1184" i="1" a="1"/>
  <c r="E1184" i="1" s="1"/>
  <c r="E1185" i="1" a="1"/>
  <c r="E1185" i="1" s="1"/>
  <c r="E1186" i="1" a="1"/>
  <c r="E1186" i="1" s="1"/>
  <c r="E1187" i="1" a="1"/>
  <c r="E1187" i="1" s="1"/>
  <c r="E1188" i="1" a="1"/>
  <c r="E1188" i="1" s="1"/>
  <c r="E1189" i="1" a="1"/>
  <c r="E1189" i="1" s="1"/>
  <c r="E1190" i="1" a="1"/>
  <c r="E1190" i="1" s="1"/>
  <c r="E1191" i="1" a="1"/>
  <c r="E1191" i="1" s="1"/>
  <c r="E1192" i="1" a="1"/>
  <c r="E1192" i="1" s="1"/>
  <c r="E1193" i="1" a="1"/>
  <c r="E1193" i="1" s="1"/>
  <c r="E1194" i="1" a="1"/>
  <c r="E1194" i="1" s="1"/>
  <c r="E1195" i="1" a="1"/>
  <c r="E1195" i="1" s="1"/>
  <c r="E1196" i="1" a="1"/>
  <c r="E1196" i="1" s="1"/>
  <c r="E1197" i="1" a="1"/>
  <c r="E1197" i="1" s="1"/>
  <c r="E1198" i="1" a="1"/>
  <c r="E1198" i="1" s="1"/>
  <c r="E1199" i="1" a="1"/>
  <c r="E1199" i="1" s="1"/>
  <c r="E1200" i="1" a="1"/>
  <c r="E1200" i="1" s="1"/>
  <c r="E1201" i="1" a="1"/>
  <c r="E1201" i="1" s="1"/>
  <c r="E1202" i="1" a="1"/>
  <c r="E1202" i="1" s="1"/>
  <c r="E1203" i="1" a="1"/>
  <c r="E1203" i="1" s="1"/>
  <c r="E1204" i="1" a="1"/>
  <c r="E1204" i="1" s="1"/>
  <c r="E1205" i="1" a="1"/>
  <c r="E1205" i="1" s="1"/>
  <c r="E1206" i="1" a="1"/>
  <c r="E1206" i="1" s="1"/>
  <c r="E1207" i="1" a="1"/>
  <c r="E1207" i="1" s="1"/>
  <c r="E1208" i="1" a="1"/>
  <c r="E1208" i="1" s="1"/>
  <c r="E1209" i="1" a="1"/>
  <c r="E1209" i="1" s="1"/>
  <c r="E1210" i="1" a="1"/>
  <c r="E1210" i="1" s="1"/>
  <c r="E1211" i="1" a="1"/>
  <c r="E1211" i="1" s="1"/>
  <c r="E1212" i="1" a="1"/>
  <c r="E1212" i="1" s="1"/>
  <c r="E1213" i="1" a="1"/>
  <c r="E1213" i="1" s="1"/>
  <c r="E1214" i="1" a="1"/>
  <c r="E1214" i="1" s="1"/>
  <c r="E1215" i="1" a="1"/>
  <c r="E1215" i="1" s="1"/>
  <c r="E1216" i="1" a="1"/>
  <c r="E1216" i="1" s="1"/>
  <c r="E1217" i="1" a="1"/>
  <c r="E1217" i="1" s="1"/>
  <c r="E1218" i="1" a="1"/>
  <c r="E1218" i="1" s="1"/>
  <c r="E1219" i="1" a="1"/>
  <c r="E1219" i="1" s="1"/>
  <c r="E1220" i="1" a="1"/>
  <c r="E1220" i="1" s="1"/>
  <c r="E1221" i="1" a="1"/>
  <c r="E1221" i="1" s="1"/>
  <c r="E1222" i="1" a="1"/>
  <c r="E1222" i="1" s="1"/>
  <c r="E1223" i="1" a="1"/>
  <c r="E1223" i="1" s="1"/>
  <c r="E1224" i="1" a="1"/>
  <c r="E1224" i="1" s="1"/>
  <c r="E1225" i="1" a="1"/>
  <c r="E1225" i="1" s="1"/>
  <c r="E1226" i="1" a="1"/>
  <c r="E1226" i="1" s="1"/>
  <c r="E1227" i="1" a="1"/>
  <c r="E1227" i="1" s="1"/>
  <c r="E1228" i="1" a="1"/>
  <c r="E1228" i="1" s="1"/>
  <c r="E1229" i="1" a="1"/>
  <c r="E1229" i="1" s="1"/>
  <c r="E1230" i="1" a="1"/>
  <c r="E1230" i="1" s="1"/>
  <c r="E1231" i="1" a="1"/>
  <c r="E1231" i="1" s="1"/>
  <c r="E1232" i="1" a="1"/>
  <c r="E1232" i="1" s="1"/>
  <c r="E1233" i="1" a="1"/>
  <c r="E1233" i="1" s="1"/>
  <c r="E1234" i="1" a="1"/>
  <c r="E1234" i="1" s="1"/>
  <c r="E1235" i="1" a="1"/>
  <c r="E1235" i="1" s="1"/>
  <c r="E1236" i="1" a="1"/>
  <c r="E1236" i="1" s="1"/>
  <c r="E1237" i="1" a="1"/>
  <c r="E1237" i="1" s="1"/>
  <c r="E1238" i="1" a="1"/>
  <c r="E1238" i="1" s="1"/>
  <c r="E1239" i="1" a="1"/>
  <c r="E1239" i="1" s="1"/>
  <c r="E1240" i="1" a="1"/>
  <c r="E1240" i="1" s="1"/>
  <c r="E1241" i="1" a="1"/>
  <c r="E1241" i="1" s="1"/>
  <c r="E1242" i="1" a="1"/>
  <c r="E1242" i="1" s="1"/>
  <c r="E1243" i="1" a="1"/>
  <c r="E1243" i="1" s="1"/>
  <c r="E1244" i="1" a="1"/>
  <c r="E1244" i="1" s="1"/>
  <c r="E1245" i="1" a="1"/>
  <c r="E1245" i="1" s="1"/>
  <c r="E1246" i="1" a="1"/>
  <c r="E1246" i="1" s="1"/>
  <c r="E1247" i="1" a="1"/>
  <c r="E1247" i="1" s="1"/>
  <c r="E1248" i="1" a="1"/>
  <c r="E1248" i="1" s="1"/>
  <c r="E1249" i="1" a="1"/>
  <c r="E1249" i="1" s="1"/>
  <c r="E1250" i="1" a="1"/>
  <c r="E1250" i="1" s="1"/>
  <c r="E1251" i="1" a="1"/>
  <c r="E1251" i="1" s="1"/>
  <c r="E1252" i="1" a="1"/>
  <c r="E1252" i="1" s="1"/>
  <c r="E1253" i="1" a="1"/>
  <c r="E1253" i="1" s="1"/>
  <c r="E1254" i="1" a="1"/>
  <c r="E1254" i="1" s="1"/>
  <c r="E1255" i="1" a="1"/>
  <c r="E1255" i="1" s="1"/>
  <c r="E1256" i="1" a="1"/>
  <c r="E1256" i="1" s="1"/>
  <c r="E1257" i="1" a="1"/>
  <c r="E1257" i="1" s="1"/>
  <c r="E1258" i="1" a="1"/>
  <c r="E1258" i="1" s="1"/>
  <c r="E1259" i="1" a="1"/>
  <c r="E1259" i="1" s="1"/>
  <c r="E1260" i="1" a="1"/>
  <c r="E1260" i="1" s="1"/>
  <c r="E1261" i="1" a="1"/>
  <c r="E1261" i="1" s="1"/>
  <c r="E1262" i="1" a="1"/>
  <c r="E1262" i="1" s="1"/>
  <c r="E1263" i="1" a="1"/>
  <c r="E1263" i="1" s="1"/>
  <c r="E1264" i="1" a="1"/>
  <c r="E1264" i="1" s="1"/>
  <c r="E1265" i="1" a="1"/>
  <c r="E1265" i="1" s="1"/>
  <c r="E1266" i="1" a="1"/>
  <c r="E1266" i="1" s="1"/>
  <c r="E1267" i="1" a="1"/>
  <c r="E1267" i="1" s="1"/>
  <c r="E1268" i="1" a="1"/>
  <c r="E1268" i="1" s="1"/>
  <c r="E1269" i="1" a="1"/>
  <c r="E1269" i="1" s="1"/>
  <c r="E1270" i="1" a="1"/>
  <c r="E1270" i="1" s="1"/>
  <c r="E1271" i="1" a="1"/>
  <c r="E1271" i="1" s="1"/>
  <c r="E1272" i="1" a="1"/>
  <c r="E1272" i="1" s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 s="1"/>
  <c r="E1279" i="1" a="1"/>
  <c r="E1279" i="1" s="1"/>
  <c r="E1280" i="1" a="1"/>
  <c r="E1280" i="1" s="1"/>
  <c r="E1281" i="1" a="1"/>
  <c r="E1281" i="1" s="1"/>
  <c r="E1282" i="1" a="1"/>
  <c r="E1282" i="1" s="1"/>
  <c r="E1283" i="1" a="1"/>
  <c r="E1283" i="1" s="1"/>
  <c r="E1284" i="1" a="1"/>
  <c r="E1284" i="1" s="1"/>
  <c r="E1285" i="1" a="1"/>
  <c r="E1285" i="1" s="1"/>
  <c r="E1286" i="1" a="1"/>
  <c r="E1286" i="1" s="1"/>
  <c r="E1287" i="1" a="1"/>
  <c r="E1287" i="1" s="1"/>
  <c r="E1288" i="1" a="1"/>
  <c r="E1288" i="1" s="1"/>
  <c r="E1289" i="1" a="1"/>
  <c r="E1289" i="1" s="1"/>
  <c r="E1290" i="1" a="1"/>
  <c r="E1290" i="1" s="1"/>
  <c r="E1291" i="1" a="1"/>
  <c r="E1291" i="1" s="1"/>
  <c r="E1292" i="1" a="1"/>
  <c r="E1292" i="1" s="1"/>
  <c r="E1293" i="1" a="1"/>
  <c r="E1293" i="1" s="1"/>
  <c r="E1294" i="1" a="1"/>
  <c r="E1294" i="1" s="1"/>
  <c r="E1295" i="1" a="1"/>
  <c r="E1295" i="1" s="1"/>
  <c r="E1296" i="1" a="1"/>
  <c r="E1296" i="1" s="1"/>
  <c r="E1297" i="1" a="1"/>
  <c r="E1297" i="1" s="1"/>
  <c r="E1298" i="1" a="1"/>
  <c r="E1298" i="1" s="1"/>
  <c r="E1299" i="1" a="1"/>
  <c r="E1299" i="1" s="1"/>
  <c r="E1300" i="1" a="1"/>
  <c r="E1300" i="1" s="1"/>
  <c r="E1301" i="1" a="1"/>
  <c r="E1301" i="1" s="1"/>
  <c r="E1302" i="1" a="1"/>
  <c r="E1302" i="1" s="1"/>
  <c r="E1303" i="1" a="1"/>
  <c r="E1303" i="1" s="1"/>
  <c r="E1304" i="1" a="1"/>
  <c r="E1304" i="1" s="1"/>
  <c r="E1305" i="1" a="1"/>
  <c r="E1305" i="1" s="1"/>
  <c r="E1306" i="1" a="1"/>
  <c r="E1306" i="1" s="1"/>
  <c r="E1307" i="1" a="1"/>
  <c r="E1307" i="1" s="1"/>
  <c r="E1308" i="1" a="1"/>
  <c r="E1308" i="1" s="1"/>
  <c r="E1309" i="1" a="1"/>
  <c r="E1309" i="1" s="1"/>
  <c r="E1310" i="1" a="1"/>
  <c r="E1310" i="1" s="1"/>
  <c r="E1311" i="1" a="1"/>
  <c r="E1311" i="1" s="1"/>
  <c r="E1312" i="1" a="1"/>
  <c r="E1312" i="1" s="1"/>
  <c r="E1313" i="1" a="1"/>
  <c r="E1313" i="1" s="1"/>
  <c r="E1314" i="1" a="1"/>
  <c r="E1314" i="1" s="1"/>
  <c r="E1315" i="1" a="1"/>
  <c r="E1315" i="1" s="1"/>
  <c r="E1316" i="1" a="1"/>
  <c r="E1316" i="1" s="1"/>
  <c r="E1317" i="1" a="1"/>
  <c r="E1317" i="1" s="1"/>
  <c r="E1318" i="1" a="1"/>
  <c r="E1318" i="1" s="1"/>
  <c r="E1319" i="1" a="1"/>
  <c r="E1319" i="1" s="1"/>
  <c r="E1320" i="1" a="1"/>
  <c r="E1320" i="1" s="1"/>
  <c r="E1321" i="1" a="1"/>
  <c r="E1321" i="1" s="1"/>
  <c r="E1322" i="1" a="1"/>
  <c r="E1322" i="1" s="1"/>
  <c r="E1323" i="1" a="1"/>
  <c r="E1323" i="1" s="1"/>
  <c r="E1324" i="1" a="1"/>
  <c r="E1324" i="1" s="1"/>
  <c r="E1325" i="1" a="1"/>
  <c r="E1325" i="1" s="1"/>
  <c r="E1326" i="1" a="1"/>
  <c r="E1326" i="1" s="1"/>
  <c r="E1327" i="1" a="1"/>
  <c r="E1327" i="1" s="1"/>
  <c r="E1328" i="1" a="1"/>
  <c r="E1328" i="1" s="1"/>
  <c r="E1329" i="1" a="1"/>
  <c r="E1329" i="1" s="1"/>
  <c r="E1330" i="1" a="1"/>
  <c r="E1330" i="1" s="1"/>
  <c r="E1331" i="1" a="1"/>
  <c r="E1331" i="1" s="1"/>
  <c r="E1332" i="1" a="1"/>
  <c r="E1332" i="1" s="1"/>
  <c r="E1333" i="1" a="1"/>
  <c r="E1333" i="1" s="1"/>
  <c r="E1334" i="1" a="1"/>
  <c r="E1334" i="1" s="1"/>
  <c r="E1335" i="1" a="1"/>
  <c r="E1335" i="1" s="1"/>
  <c r="E1336" i="1" a="1"/>
  <c r="E1336" i="1" s="1"/>
  <c r="E1337" i="1" a="1"/>
  <c r="E1337" i="1" s="1"/>
  <c r="E1338" i="1" a="1"/>
  <c r="E1338" i="1" s="1"/>
  <c r="E1339" i="1" a="1"/>
  <c r="E1339" i="1" s="1"/>
  <c r="E1340" i="1" a="1"/>
  <c r="E1340" i="1" s="1"/>
  <c r="E1341" i="1" a="1"/>
  <c r="E1341" i="1" s="1"/>
  <c r="E1342" i="1" a="1"/>
  <c r="E1342" i="1" s="1"/>
  <c r="E1343" i="1" a="1"/>
  <c r="E1343" i="1" s="1"/>
  <c r="E1344" i="1" a="1"/>
  <c r="E1344" i="1" s="1"/>
  <c r="E1345" i="1" a="1"/>
  <c r="E1345" i="1" s="1"/>
  <c r="E1346" i="1" a="1"/>
  <c r="E1346" i="1" s="1"/>
  <c r="E1347" i="1" a="1"/>
  <c r="E1347" i="1" s="1"/>
  <c r="E1348" i="1" a="1"/>
  <c r="E1348" i="1" s="1"/>
  <c r="E1349" i="1" a="1"/>
  <c r="E1349" i="1" s="1"/>
  <c r="E1350" i="1" a="1"/>
  <c r="E1350" i="1" s="1"/>
  <c r="E1351" i="1" a="1"/>
  <c r="E1351" i="1" s="1"/>
  <c r="E1352" i="1" a="1"/>
  <c r="E1352" i="1" s="1"/>
  <c r="E1353" i="1" a="1"/>
  <c r="E1353" i="1" s="1"/>
  <c r="E1354" i="1" a="1"/>
  <c r="E1354" i="1" s="1"/>
  <c r="E1355" i="1" a="1"/>
  <c r="E1355" i="1" s="1"/>
  <c r="E1356" i="1" a="1"/>
  <c r="E1356" i="1" s="1"/>
  <c r="E1357" i="1" a="1"/>
  <c r="E1357" i="1" s="1"/>
  <c r="E1358" i="1" a="1"/>
  <c r="E1358" i="1" s="1"/>
  <c r="E1359" i="1" a="1"/>
  <c r="E1359" i="1" s="1"/>
  <c r="E1360" i="1" a="1"/>
  <c r="E1360" i="1" s="1"/>
  <c r="E1361" i="1" a="1"/>
  <c r="E1361" i="1" s="1"/>
  <c r="E1362" i="1" a="1"/>
  <c r="E1362" i="1" s="1"/>
  <c r="E1363" i="1" a="1"/>
  <c r="E1363" i="1" s="1"/>
  <c r="E1364" i="1" a="1"/>
  <c r="E1364" i="1" s="1"/>
  <c r="E1365" i="1" a="1"/>
  <c r="E1365" i="1" s="1"/>
  <c r="E1366" i="1" a="1"/>
  <c r="E1366" i="1" s="1"/>
  <c r="E1367" i="1" a="1"/>
  <c r="E1367" i="1" s="1"/>
  <c r="E1368" i="1" a="1"/>
  <c r="E1368" i="1" s="1"/>
  <c r="E1369" i="1" a="1"/>
  <c r="E1369" i="1" s="1"/>
  <c r="E1370" i="1" a="1"/>
  <c r="E1370" i="1" s="1"/>
  <c r="E1371" i="1" a="1"/>
  <c r="E1371" i="1" s="1"/>
  <c r="E1372" i="1" a="1"/>
  <c r="E1372" i="1" s="1"/>
  <c r="E1373" i="1" a="1"/>
  <c r="E1373" i="1" s="1"/>
  <c r="E1374" i="1" a="1"/>
  <c r="E1374" i="1" s="1"/>
  <c r="E1375" i="1" a="1"/>
  <c r="E1375" i="1" s="1"/>
  <c r="E1376" i="1" a="1"/>
  <c r="E1376" i="1" s="1"/>
  <c r="E1377" i="1" a="1"/>
  <c r="E1377" i="1" s="1"/>
  <c r="E1378" i="1" a="1"/>
  <c r="E1378" i="1" s="1"/>
  <c r="E1379" i="1" a="1"/>
  <c r="E1379" i="1" s="1"/>
  <c r="E1380" i="1" a="1"/>
  <c r="E1380" i="1" s="1"/>
  <c r="E1381" i="1" a="1"/>
  <c r="E1381" i="1" s="1"/>
  <c r="E1382" i="1" a="1"/>
  <c r="E1382" i="1" s="1"/>
  <c r="E1383" i="1" a="1"/>
  <c r="E1383" i="1" s="1"/>
  <c r="E1384" i="1" a="1"/>
  <c r="E1384" i="1" s="1"/>
  <c r="E1385" i="1" a="1"/>
  <c r="E1385" i="1" s="1"/>
  <c r="E1386" i="1" a="1"/>
  <c r="E1386" i="1" s="1"/>
  <c r="E1387" i="1" a="1"/>
  <c r="E1387" i="1" s="1"/>
  <c r="E1388" i="1" a="1"/>
  <c r="E1388" i="1" s="1"/>
  <c r="E1389" i="1" a="1"/>
  <c r="E1389" i="1" s="1"/>
  <c r="E1390" i="1" a="1"/>
  <c r="E1390" i="1" s="1"/>
  <c r="E1391" i="1" a="1"/>
  <c r="E1391" i="1" s="1"/>
  <c r="E1392" i="1" a="1"/>
  <c r="E1392" i="1" s="1"/>
  <c r="E1393" i="1" a="1"/>
  <c r="E1393" i="1" s="1"/>
  <c r="E1394" i="1" a="1"/>
  <c r="E1394" i="1" s="1"/>
  <c r="E1395" i="1" a="1"/>
  <c r="E1395" i="1" s="1"/>
  <c r="E1396" i="1" a="1"/>
  <c r="E1396" i="1" s="1"/>
  <c r="E1397" i="1" a="1"/>
  <c r="E1397" i="1" s="1"/>
  <c r="E1398" i="1" a="1"/>
  <c r="E1398" i="1" s="1"/>
  <c r="E1399" i="1" a="1"/>
  <c r="E1399" i="1" s="1"/>
  <c r="E1400" i="1" a="1"/>
  <c r="E1400" i="1" s="1"/>
  <c r="E1401" i="1" a="1"/>
  <c r="E1401" i="1" s="1"/>
  <c r="E1402" i="1" a="1"/>
  <c r="E1402" i="1" s="1"/>
  <c r="E1403" i="1" a="1"/>
  <c r="E1403" i="1" s="1"/>
  <c r="E1404" i="1" a="1"/>
  <c r="E1404" i="1" s="1"/>
  <c r="E1405" i="1" a="1"/>
  <c r="E1405" i="1" s="1"/>
  <c r="E1406" i="1" a="1"/>
  <c r="E1406" i="1" s="1"/>
  <c r="E1407" i="1" a="1"/>
  <c r="E1407" i="1" s="1"/>
  <c r="E1408" i="1" a="1"/>
  <c r="E1408" i="1" s="1"/>
  <c r="E1409" i="1" a="1"/>
  <c r="E1409" i="1" s="1"/>
  <c r="E1410" i="1" a="1"/>
  <c r="E1410" i="1" s="1"/>
  <c r="E1411" i="1" a="1"/>
  <c r="E1411" i="1" s="1"/>
  <c r="E1412" i="1" a="1"/>
  <c r="E1412" i="1" s="1"/>
  <c r="E1413" i="1" a="1"/>
  <c r="E1413" i="1" s="1"/>
  <c r="E1414" i="1" a="1"/>
  <c r="E1414" i="1" s="1"/>
  <c r="E1415" i="1" a="1"/>
  <c r="E1415" i="1" s="1"/>
  <c r="E1416" i="1" a="1"/>
  <c r="E1416" i="1" s="1"/>
  <c r="E1417" i="1" a="1"/>
  <c r="E1417" i="1" s="1"/>
  <c r="E1418" i="1" a="1"/>
  <c r="E1418" i="1" s="1"/>
  <c r="E1419" i="1" a="1"/>
  <c r="E1419" i="1" s="1"/>
  <c r="E1420" i="1" a="1"/>
  <c r="E1420" i="1" s="1"/>
  <c r="E1421" i="1" a="1"/>
  <c r="E1421" i="1" s="1"/>
  <c r="E1422" i="1" a="1"/>
  <c r="E1422" i="1" s="1"/>
  <c r="E1423" i="1" a="1"/>
  <c r="E1423" i="1" s="1"/>
  <c r="E1424" i="1" a="1"/>
  <c r="E1424" i="1" s="1"/>
  <c r="E1425" i="1" a="1"/>
  <c r="E1425" i="1" s="1"/>
  <c r="E1426" i="1" a="1"/>
  <c r="E1426" i="1" s="1"/>
  <c r="E1427" i="1" a="1"/>
  <c r="E1427" i="1" s="1"/>
  <c r="E1428" i="1" a="1"/>
  <c r="E1428" i="1" s="1"/>
  <c r="E1429" i="1" a="1"/>
  <c r="E1429" i="1" s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 s="1"/>
  <c r="E1435" i="1" a="1"/>
  <c r="E1435" i="1" s="1"/>
  <c r="E1436" i="1" a="1"/>
  <c r="E1436" i="1" s="1"/>
  <c r="E1437" i="1" a="1"/>
  <c r="E1437" i="1" s="1"/>
  <c r="E1438" i="1" a="1"/>
  <c r="E1438" i="1" s="1"/>
  <c r="E1439" i="1" a="1"/>
  <c r="E1439" i="1" s="1"/>
  <c r="E1440" i="1" a="1"/>
  <c r="E1440" i="1" s="1"/>
  <c r="E1441" i="1" a="1"/>
  <c r="E1441" i="1" s="1"/>
  <c r="E1442" i="1" a="1"/>
  <c r="E1442" i="1" s="1"/>
  <c r="E1443" i="1" a="1"/>
  <c r="E1443" i="1" s="1"/>
  <c r="E1444" i="1" a="1"/>
  <c r="E1444" i="1" s="1"/>
  <c r="E1445" i="1" a="1"/>
  <c r="E1445" i="1" s="1"/>
  <c r="E1446" i="1" a="1"/>
  <c r="E1446" i="1" s="1"/>
  <c r="E1447" i="1" a="1"/>
  <c r="E1447" i="1" s="1"/>
  <c r="E1448" i="1" a="1"/>
  <c r="E1448" i="1" s="1"/>
  <c r="E1449" i="1" a="1"/>
  <c r="E1449" i="1" s="1"/>
  <c r="E1450" i="1" a="1"/>
  <c r="E1450" i="1" s="1"/>
  <c r="E1451" i="1" a="1"/>
  <c r="E1451" i="1" s="1"/>
  <c r="E1452" i="1" a="1"/>
  <c r="E1452" i="1" s="1"/>
  <c r="E1453" i="1" a="1"/>
  <c r="E1453" i="1" s="1"/>
  <c r="E1454" i="1" a="1"/>
  <c r="E1454" i="1" s="1"/>
  <c r="E1455" i="1" a="1"/>
  <c r="E1455" i="1" s="1"/>
  <c r="E1456" i="1" a="1"/>
  <c r="E1456" i="1"/>
  <c r="E1457" i="1" a="1"/>
  <c r="E1457" i="1"/>
  <c r="E1458" i="1" a="1"/>
  <c r="E1458" i="1" s="1"/>
  <c r="E1459" i="1" a="1"/>
  <c r="E1459" i="1" s="1"/>
  <c r="E1460" i="1" a="1"/>
  <c r="E1460" i="1"/>
  <c r="E1461" i="1" a="1"/>
  <c r="E1461" i="1"/>
  <c r="E1462" i="1" a="1"/>
  <c r="E1462" i="1" s="1"/>
  <c r="E1463" i="1" a="1"/>
  <c r="E1463" i="1" s="1"/>
  <c r="E1464" i="1" a="1"/>
  <c r="E1464" i="1"/>
  <c r="E1465" i="1" a="1"/>
  <c r="E1465" i="1"/>
  <c r="E1466" i="1" a="1"/>
  <c r="E1466" i="1" s="1"/>
  <c r="E1467" i="1" a="1"/>
  <c r="E1467" i="1" s="1"/>
  <c r="E1468" i="1" a="1"/>
  <c r="E1468" i="1"/>
  <c r="E1469" i="1" a="1"/>
  <c r="E1469" i="1"/>
  <c r="E1470" i="1" a="1"/>
  <c r="E1470" i="1" s="1"/>
  <c r="E1471" i="1" a="1"/>
  <c r="E1471" i="1" s="1"/>
  <c r="E1472" i="1" a="1"/>
  <c r="E1472" i="1"/>
  <c r="E1473" i="1" a="1"/>
  <c r="E1473" i="1"/>
  <c r="E1474" i="1" a="1"/>
  <c r="E1474" i="1" s="1"/>
  <c r="E1475" i="1" a="1"/>
  <c r="E1475" i="1" s="1"/>
  <c r="E1476" i="1" a="1"/>
  <c r="E1476" i="1" s="1"/>
  <c r="E1477" i="1" a="1"/>
  <c r="E1477" i="1" s="1"/>
  <c r="E1478" i="1" a="1"/>
  <c r="E1478" i="1" s="1"/>
  <c r="E1479" i="1" a="1"/>
  <c r="E1479" i="1" s="1"/>
  <c r="E1480" i="1" a="1"/>
  <c r="E1480" i="1" s="1"/>
  <c r="E1481" i="1" a="1"/>
  <c r="E1481" i="1" s="1"/>
  <c r="E1482" i="1" a="1"/>
  <c r="E1482" i="1" s="1"/>
  <c r="E1483" i="1" a="1"/>
  <c r="E1483" i="1" s="1"/>
  <c r="E1484" i="1" a="1"/>
  <c r="E1484" i="1" s="1"/>
  <c r="E1485" i="1" a="1"/>
  <c r="E1485" i="1" s="1"/>
  <c r="E1486" i="1" a="1"/>
  <c r="E1486" i="1" s="1"/>
  <c r="E2" i="1" a="1"/>
  <c r="E2" i="1" s="1"/>
  <c r="R2" i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172" i="1" a="1"/>
  <c r="M172" i="1" s="1"/>
  <c r="M173" i="1" a="1"/>
  <c r="M173" i="1" s="1"/>
  <c r="M174" i="1" a="1"/>
  <c r="M174" i="1" s="1"/>
  <c r="M175" i="1" a="1"/>
  <c r="M175" i="1" s="1"/>
  <c r="M176" i="1" a="1"/>
  <c r="M176" i="1" s="1"/>
  <c r="M177" i="1" a="1"/>
  <c r="M177" i="1" s="1"/>
  <c r="M178" i="1" a="1"/>
  <c r="M178" i="1" s="1"/>
  <c r="M179" i="1" a="1"/>
  <c r="M179" i="1" s="1"/>
  <c r="M180" i="1" a="1"/>
  <c r="M180" i="1" s="1"/>
  <c r="M181" i="1" a="1"/>
  <c r="M181" i="1" s="1"/>
  <c r="M182" i="1" a="1"/>
  <c r="M182" i="1" s="1"/>
  <c r="M183" i="1" a="1"/>
  <c r="M183" i="1" s="1"/>
  <c r="M184" i="1" a="1"/>
  <c r="M184" i="1" s="1"/>
  <c r="M185" i="1" a="1"/>
  <c r="M185" i="1" s="1"/>
  <c r="M186" i="1" a="1"/>
  <c r="M186" i="1" s="1"/>
  <c r="M187" i="1" a="1"/>
  <c r="M187" i="1" s="1"/>
  <c r="M188" i="1" a="1"/>
  <c r="M188" i="1" s="1"/>
  <c r="M189" i="1" a="1"/>
  <c r="M189" i="1" s="1"/>
  <c r="M190" i="1" a="1"/>
  <c r="M190" i="1" s="1"/>
  <c r="M191" i="1" a="1"/>
  <c r="M191" i="1" s="1"/>
  <c r="M192" i="1" a="1"/>
  <c r="M192" i="1" s="1"/>
  <c r="M193" i="1" a="1"/>
  <c r="M193" i="1" s="1"/>
  <c r="M194" i="1" a="1"/>
  <c r="M194" i="1" s="1"/>
  <c r="M195" i="1" a="1"/>
  <c r="M195" i="1" s="1"/>
  <c r="M196" i="1" a="1"/>
  <c r="M196" i="1" s="1"/>
  <c r="M197" i="1" a="1"/>
  <c r="M197" i="1" s="1"/>
  <c r="M198" i="1" a="1"/>
  <c r="M198" i="1" s="1"/>
  <c r="M199" i="1" a="1"/>
  <c r="M199" i="1" s="1"/>
  <c r="M200" i="1" a="1"/>
  <c r="M200" i="1" s="1"/>
  <c r="M201" i="1" a="1"/>
  <c r="M201" i="1" s="1"/>
  <c r="M202" i="1" a="1"/>
  <c r="M202" i="1" s="1"/>
  <c r="M203" i="1" a="1"/>
  <c r="M203" i="1" s="1"/>
  <c r="M204" i="1" a="1"/>
  <c r="M204" i="1" s="1"/>
  <c r="M205" i="1" a="1"/>
  <c r="M205" i="1" s="1"/>
  <c r="M206" i="1" a="1"/>
  <c r="M206" i="1" s="1"/>
  <c r="M207" i="1" a="1"/>
  <c r="M207" i="1" s="1"/>
  <c r="M208" i="1" a="1"/>
  <c r="M208" i="1" s="1"/>
  <c r="M209" i="1" a="1"/>
  <c r="M209" i="1" s="1"/>
  <c r="M210" i="1" a="1"/>
  <c r="M210" i="1" s="1"/>
  <c r="M211" i="1" a="1"/>
  <c r="M211" i="1" s="1"/>
  <c r="M212" i="1" a="1"/>
  <c r="M212" i="1" s="1"/>
  <c r="M213" i="1" a="1"/>
  <c r="M213" i="1" s="1"/>
  <c r="M214" i="1" a="1"/>
  <c r="M214" i="1" s="1"/>
  <c r="M215" i="1" a="1"/>
  <c r="M215" i="1" s="1"/>
  <c r="M216" i="1" a="1"/>
  <c r="M216" i="1" s="1"/>
  <c r="M217" i="1" a="1"/>
  <c r="M217" i="1" s="1"/>
  <c r="M218" i="1" a="1"/>
  <c r="M218" i="1" s="1"/>
  <c r="M219" i="1" a="1"/>
  <c r="M219" i="1" s="1"/>
  <c r="M220" i="1" a="1"/>
  <c r="M220" i="1" s="1"/>
  <c r="M221" i="1" a="1"/>
  <c r="M221" i="1" s="1"/>
  <c r="M222" i="1" a="1"/>
  <c r="M222" i="1" s="1"/>
  <c r="M223" i="1" a="1"/>
  <c r="M223" i="1" s="1"/>
  <c r="M224" i="1" a="1"/>
  <c r="M224" i="1" s="1"/>
  <c r="M225" i="1" a="1"/>
  <c r="M225" i="1" s="1"/>
  <c r="M226" i="1" a="1"/>
  <c r="M226" i="1" s="1"/>
  <c r="M227" i="1" a="1"/>
  <c r="M227" i="1" s="1"/>
  <c r="M228" i="1" a="1"/>
  <c r="M228" i="1" s="1"/>
  <c r="M229" i="1" a="1"/>
  <c r="M229" i="1" s="1"/>
  <c r="M230" i="1" a="1"/>
  <c r="M230" i="1" s="1"/>
  <c r="M231" i="1" a="1"/>
  <c r="M231" i="1" s="1"/>
  <c r="M232" i="1" a="1"/>
  <c r="M232" i="1" s="1"/>
  <c r="M233" i="1" a="1"/>
  <c r="M233" i="1" s="1"/>
  <c r="M234" i="1" a="1"/>
  <c r="M234" i="1" s="1"/>
  <c r="M235" i="1" a="1"/>
  <c r="M235" i="1" s="1"/>
  <c r="M236" i="1" a="1"/>
  <c r="M236" i="1" s="1"/>
  <c r="M237" i="1" a="1"/>
  <c r="M237" i="1" s="1"/>
  <c r="M238" i="1" a="1"/>
  <c r="M238" i="1" s="1"/>
  <c r="M239" i="1" a="1"/>
  <c r="M239" i="1" s="1"/>
  <c r="M240" i="1" a="1"/>
  <c r="M240" i="1" s="1"/>
  <c r="M241" i="1" a="1"/>
  <c r="M241" i="1" s="1"/>
  <c r="M242" i="1" a="1"/>
  <c r="M242" i="1" s="1"/>
  <c r="M243" i="1" a="1"/>
  <c r="M243" i="1" s="1"/>
  <c r="M244" i="1" a="1"/>
  <c r="M244" i="1" s="1"/>
  <c r="M245" i="1" a="1"/>
  <c r="M245" i="1" s="1"/>
  <c r="M246" i="1" a="1"/>
  <c r="M246" i="1" s="1"/>
  <c r="M247" i="1" a="1"/>
  <c r="M247" i="1" s="1"/>
  <c r="M248" i="1" a="1"/>
  <c r="M248" i="1" s="1"/>
  <c r="M249" i="1" a="1"/>
  <c r="M249" i="1" s="1"/>
  <c r="M250" i="1" a="1"/>
  <c r="M250" i="1" s="1"/>
  <c r="M251" i="1" a="1"/>
  <c r="M251" i="1" s="1"/>
  <c r="M252" i="1" a="1"/>
  <c r="M252" i="1" s="1"/>
  <c r="M253" i="1" a="1"/>
  <c r="M253" i="1" s="1"/>
  <c r="M254" i="1" a="1"/>
  <c r="M254" i="1" s="1"/>
  <c r="M255" i="1" a="1"/>
  <c r="M255" i="1" s="1"/>
  <c r="M256" i="1" a="1"/>
  <c r="M256" i="1" s="1"/>
  <c r="M257" i="1" a="1"/>
  <c r="M257" i="1" s="1"/>
  <c r="M258" i="1" a="1"/>
  <c r="M258" i="1" s="1"/>
  <c r="M259" i="1" a="1"/>
  <c r="M259" i="1" s="1"/>
  <c r="M260" i="1" a="1"/>
  <c r="M260" i="1" s="1"/>
  <c r="M261" i="1" a="1"/>
  <c r="M261" i="1" s="1"/>
  <c r="M262" i="1" a="1"/>
  <c r="M262" i="1" s="1"/>
  <c r="M263" i="1" a="1"/>
  <c r="M263" i="1" s="1"/>
  <c r="M264" i="1" a="1"/>
  <c r="M264" i="1" s="1"/>
  <c r="M265" i="1" a="1"/>
  <c r="M265" i="1" s="1"/>
  <c r="M266" i="1" a="1"/>
  <c r="M266" i="1" s="1"/>
  <c r="M267" i="1" a="1"/>
  <c r="M267" i="1" s="1"/>
  <c r="M268" i="1" a="1"/>
  <c r="M268" i="1" s="1"/>
  <c r="M269" i="1" a="1"/>
  <c r="M269" i="1" s="1"/>
  <c r="M270" i="1" a="1"/>
  <c r="M270" i="1" s="1"/>
  <c r="M271" i="1" a="1"/>
  <c r="M271" i="1" s="1"/>
  <c r="M272" i="1" a="1"/>
  <c r="M272" i="1" s="1"/>
  <c r="M273" i="1" a="1"/>
  <c r="M273" i="1" s="1"/>
  <c r="M274" i="1" a="1"/>
  <c r="M274" i="1" s="1"/>
  <c r="M275" i="1" a="1"/>
  <c r="M275" i="1" s="1"/>
  <c r="M276" i="1" a="1"/>
  <c r="M276" i="1" s="1"/>
  <c r="M277" i="1" a="1"/>
  <c r="M277" i="1" s="1"/>
  <c r="M278" i="1" a="1"/>
  <c r="M278" i="1" s="1"/>
  <c r="M279" i="1" a="1"/>
  <c r="M279" i="1" s="1"/>
  <c r="M280" i="1" a="1"/>
  <c r="M280" i="1" s="1"/>
  <c r="M281" i="1" a="1"/>
  <c r="M281" i="1" s="1"/>
  <c r="M282" i="1" a="1"/>
  <c r="M282" i="1" s="1"/>
  <c r="M283" i="1" a="1"/>
  <c r="M283" i="1" s="1"/>
  <c r="M284" i="1" a="1"/>
  <c r="M284" i="1" s="1"/>
  <c r="M285" i="1" a="1"/>
  <c r="M285" i="1" s="1"/>
  <c r="M286" i="1" a="1"/>
  <c r="M286" i="1" s="1"/>
  <c r="M287" i="1" a="1"/>
  <c r="M287" i="1" s="1"/>
  <c r="M288" i="1" a="1"/>
  <c r="M288" i="1" s="1"/>
  <c r="M289" i="1" a="1"/>
  <c r="M289" i="1" s="1"/>
  <c r="M290" i="1" a="1"/>
  <c r="M290" i="1" s="1"/>
  <c r="M291" i="1" a="1"/>
  <c r="M291" i="1" s="1"/>
  <c r="M292" i="1" a="1"/>
  <c r="M292" i="1" s="1"/>
  <c r="M293" i="1" a="1"/>
  <c r="M293" i="1" s="1"/>
  <c r="M294" i="1" a="1"/>
  <c r="M294" i="1" s="1"/>
  <c r="M295" i="1" a="1"/>
  <c r="M295" i="1" s="1"/>
  <c r="M296" i="1" a="1"/>
  <c r="M296" i="1" s="1"/>
  <c r="M297" i="1" a="1"/>
  <c r="M297" i="1" s="1"/>
  <c r="M298" i="1" a="1"/>
  <c r="M298" i="1" s="1"/>
  <c r="M299" i="1" a="1"/>
  <c r="M299" i="1" s="1"/>
  <c r="M300" i="1" a="1"/>
  <c r="M300" i="1" s="1"/>
  <c r="M301" i="1" a="1"/>
  <c r="M301" i="1" s="1"/>
  <c r="M302" i="1" a="1"/>
  <c r="M302" i="1" s="1"/>
  <c r="M303" i="1" a="1"/>
  <c r="M303" i="1" s="1"/>
  <c r="M304" i="1" a="1"/>
  <c r="M304" i="1" s="1"/>
  <c r="M305" i="1" a="1"/>
  <c r="M305" i="1" s="1"/>
  <c r="M306" i="1" a="1"/>
  <c r="M306" i="1" s="1"/>
  <c r="M307" i="1" a="1"/>
  <c r="M307" i="1" s="1"/>
  <c r="M308" i="1" a="1"/>
  <c r="M308" i="1" s="1"/>
  <c r="M309" i="1" a="1"/>
  <c r="M309" i="1" s="1"/>
  <c r="M310" i="1" a="1"/>
  <c r="M310" i="1" s="1"/>
  <c r="M311" i="1" a="1"/>
  <c r="M311" i="1"/>
  <c r="M312" i="1" a="1"/>
  <c r="M312" i="1" s="1"/>
  <c r="M313" i="1" a="1"/>
  <c r="M313" i="1" s="1"/>
  <c r="M314" i="1" a="1"/>
  <c r="M314" i="1" s="1"/>
  <c r="M315" i="1" a="1"/>
  <c r="M315" i="1" s="1"/>
  <c r="M316" i="1" a="1"/>
  <c r="M316" i="1" s="1"/>
  <c r="M317" i="1" a="1"/>
  <c r="M317" i="1" s="1"/>
  <c r="M318" i="1" a="1"/>
  <c r="M318" i="1" s="1"/>
  <c r="M319" i="1" a="1"/>
  <c r="M319" i="1" s="1"/>
  <c r="M320" i="1" a="1"/>
  <c r="M320" i="1" s="1"/>
  <c r="M321" i="1" a="1"/>
  <c r="M321" i="1" s="1"/>
  <c r="M322" i="1" a="1"/>
  <c r="M322" i="1" s="1"/>
  <c r="M323" i="1" a="1"/>
  <c r="M323" i="1" s="1"/>
  <c r="M324" i="1" a="1"/>
  <c r="M324" i="1" s="1"/>
  <c r="M325" i="1" a="1"/>
  <c r="M325" i="1" s="1"/>
  <c r="M326" i="1" a="1"/>
  <c r="M326" i="1" s="1"/>
  <c r="M327" i="1" a="1"/>
  <c r="M327" i="1" s="1"/>
  <c r="M328" i="1" a="1"/>
  <c r="M328" i="1" s="1"/>
  <c r="M329" i="1" a="1"/>
  <c r="M329" i="1" s="1"/>
  <c r="M330" i="1" a="1"/>
  <c r="M330" i="1" s="1"/>
  <c r="M331" i="1" a="1"/>
  <c r="M331" i="1" s="1"/>
  <c r="M332" i="1" a="1"/>
  <c r="M332" i="1" s="1"/>
  <c r="M333" i="1" a="1"/>
  <c r="M333" i="1" s="1"/>
  <c r="M334" i="1" a="1"/>
  <c r="M334" i="1" s="1"/>
  <c r="M335" i="1" a="1"/>
  <c r="M335" i="1" s="1"/>
  <c r="M336" i="1" a="1"/>
  <c r="M336" i="1" s="1"/>
  <c r="M337" i="1" a="1"/>
  <c r="M337" i="1" s="1"/>
  <c r="M338" i="1" a="1"/>
  <c r="M338" i="1" s="1"/>
  <c r="M339" i="1" a="1"/>
  <c r="M339" i="1" s="1"/>
  <c r="M340" i="1" a="1"/>
  <c r="M340" i="1" s="1"/>
  <c r="M341" i="1" a="1"/>
  <c r="M341" i="1" s="1"/>
  <c r="M342" i="1" a="1"/>
  <c r="M342" i="1" s="1"/>
  <c r="M343" i="1" a="1"/>
  <c r="M343" i="1" s="1"/>
  <c r="M344" i="1" a="1"/>
  <c r="M344" i="1" s="1"/>
  <c r="M345" i="1" a="1"/>
  <c r="M345" i="1" s="1"/>
  <c r="M346" i="1" a="1"/>
  <c r="M346" i="1" s="1"/>
  <c r="M347" i="1" a="1"/>
  <c r="M347" i="1" s="1"/>
  <c r="M348" i="1" a="1"/>
  <c r="M348" i="1" s="1"/>
  <c r="M349" i="1" a="1"/>
  <c r="M349" i="1" s="1"/>
  <c r="M350" i="1" a="1"/>
  <c r="M350" i="1" s="1"/>
  <c r="M351" i="1" a="1"/>
  <c r="M351" i="1" s="1"/>
  <c r="M352" i="1" a="1"/>
  <c r="M352" i="1" s="1"/>
  <c r="M353" i="1" a="1"/>
  <c r="M353" i="1" s="1"/>
  <c r="M354" i="1" a="1"/>
  <c r="M354" i="1" s="1"/>
  <c r="M355" i="1" a="1"/>
  <c r="M355" i="1" s="1"/>
  <c r="M356" i="1" a="1"/>
  <c r="M356" i="1" s="1"/>
  <c r="M357" i="1" a="1"/>
  <c r="M357" i="1" s="1"/>
  <c r="M358" i="1" a="1"/>
  <c r="M358" i="1" s="1"/>
  <c r="M359" i="1" a="1"/>
  <c r="M359" i="1" s="1"/>
  <c r="M360" i="1" a="1"/>
  <c r="M360" i="1" s="1"/>
  <c r="M361" i="1" a="1"/>
  <c r="M361" i="1" s="1"/>
  <c r="M362" i="1" a="1"/>
  <c r="M362" i="1" s="1"/>
  <c r="M363" i="1" a="1"/>
  <c r="M363" i="1" s="1"/>
  <c r="M364" i="1" a="1"/>
  <c r="M364" i="1" s="1"/>
  <c r="M365" i="1" a="1"/>
  <c r="M365" i="1" s="1"/>
  <c r="M366" i="1" a="1"/>
  <c r="M366" i="1" s="1"/>
  <c r="M367" i="1" a="1"/>
  <c r="M367" i="1" s="1"/>
  <c r="M368" i="1" a="1"/>
  <c r="M368" i="1" s="1"/>
  <c r="M369" i="1" a="1"/>
  <c r="M369" i="1" s="1"/>
  <c r="M370" i="1" a="1"/>
  <c r="M370" i="1" s="1"/>
  <c r="M371" i="1" a="1"/>
  <c r="M371" i="1" s="1"/>
  <c r="M372" i="1" a="1"/>
  <c r="M372" i="1" s="1"/>
  <c r="M373" i="1" a="1"/>
  <c r="M373" i="1" s="1"/>
  <c r="M374" i="1" a="1"/>
  <c r="M374" i="1" s="1"/>
  <c r="M375" i="1" a="1"/>
  <c r="M375" i="1" s="1"/>
  <c r="M376" i="1" a="1"/>
  <c r="M376" i="1" s="1"/>
  <c r="M377" i="1" a="1"/>
  <c r="M377" i="1" s="1"/>
  <c r="M378" i="1" a="1"/>
  <c r="M378" i="1" s="1"/>
  <c r="M379" i="1" a="1"/>
  <c r="M379" i="1" s="1"/>
  <c r="M380" i="1" a="1"/>
  <c r="M380" i="1" s="1"/>
  <c r="M381" i="1" a="1"/>
  <c r="M381" i="1" s="1"/>
  <c r="M382" i="1" a="1"/>
  <c r="M382" i="1" s="1"/>
  <c r="M383" i="1" a="1"/>
  <c r="M383" i="1" s="1"/>
  <c r="M384" i="1" a="1"/>
  <c r="M384" i="1" s="1"/>
  <c r="M385" i="1" a="1"/>
  <c r="M385" i="1" s="1"/>
  <c r="M386" i="1" a="1"/>
  <c r="M386" i="1" s="1"/>
  <c r="M387" i="1" a="1"/>
  <c r="M387" i="1" s="1"/>
  <c r="M388" i="1" a="1"/>
  <c r="M388" i="1" s="1"/>
  <c r="M389" i="1" a="1"/>
  <c r="M389" i="1" s="1"/>
  <c r="M390" i="1" a="1"/>
  <c r="M390" i="1" s="1"/>
  <c r="M391" i="1" a="1"/>
  <c r="M391" i="1" s="1"/>
  <c r="M392" i="1" a="1"/>
  <c r="M392" i="1" s="1"/>
  <c r="M393" i="1" a="1"/>
  <c r="M393" i="1" s="1"/>
  <c r="M394" i="1" a="1"/>
  <c r="M394" i="1" s="1"/>
  <c r="M395" i="1" a="1"/>
  <c r="M395" i="1" s="1"/>
  <c r="M396" i="1" a="1"/>
  <c r="M396" i="1" s="1"/>
  <c r="M397" i="1" a="1"/>
  <c r="M397" i="1" s="1"/>
  <c r="M398" i="1" a="1"/>
  <c r="M398" i="1" s="1"/>
  <c r="M399" i="1" a="1"/>
  <c r="M399" i="1" s="1"/>
  <c r="M400" i="1" a="1"/>
  <c r="M400" i="1" s="1"/>
  <c r="M401" i="1" a="1"/>
  <c r="M401" i="1" s="1"/>
  <c r="M402" i="1" a="1"/>
  <c r="M402" i="1" s="1"/>
  <c r="M403" i="1" a="1"/>
  <c r="M403" i="1" s="1"/>
  <c r="M404" i="1" a="1"/>
  <c r="M404" i="1" s="1"/>
  <c r="M405" i="1" a="1"/>
  <c r="M405" i="1" s="1"/>
  <c r="M406" i="1" a="1"/>
  <c r="M406" i="1" s="1"/>
  <c r="M407" i="1" a="1"/>
  <c r="M407" i="1" s="1"/>
  <c r="M408" i="1" a="1"/>
  <c r="M408" i="1" s="1"/>
  <c r="M409" i="1" a="1"/>
  <c r="M409" i="1" s="1"/>
  <c r="M410" i="1" a="1"/>
  <c r="M410" i="1" s="1"/>
  <c r="M411" i="1" a="1"/>
  <c r="M411" i="1" s="1"/>
  <c r="M412" i="1" a="1"/>
  <c r="M412" i="1" s="1"/>
  <c r="M413" i="1" a="1"/>
  <c r="M413" i="1" s="1"/>
  <c r="M414" i="1" a="1"/>
  <c r="M414" i="1" s="1"/>
  <c r="M415" i="1" a="1"/>
  <c r="M415" i="1" s="1"/>
  <c r="M416" i="1" a="1"/>
  <c r="M416" i="1" s="1"/>
  <c r="M417" i="1" a="1"/>
  <c r="M417" i="1" s="1"/>
  <c r="M418" i="1" a="1"/>
  <c r="M418" i="1" s="1"/>
  <c r="M419" i="1" a="1"/>
  <c r="M419" i="1" s="1"/>
  <c r="M420" i="1" a="1"/>
  <c r="M420" i="1" s="1"/>
  <c r="M421" i="1" a="1"/>
  <c r="M421" i="1" s="1"/>
  <c r="M422" i="1" a="1"/>
  <c r="M422" i="1" s="1"/>
  <c r="M423" i="1" a="1"/>
  <c r="M423" i="1" s="1"/>
  <c r="M424" i="1" a="1"/>
  <c r="M424" i="1" s="1"/>
  <c r="M425" i="1" a="1"/>
  <c r="M425" i="1" s="1"/>
  <c r="M426" i="1" a="1"/>
  <c r="M426" i="1" s="1"/>
  <c r="M427" i="1" a="1"/>
  <c r="M427" i="1" s="1"/>
  <c r="M428" i="1" a="1"/>
  <c r="M428" i="1" s="1"/>
  <c r="M429" i="1" a="1"/>
  <c r="M429" i="1" s="1"/>
  <c r="M430" i="1" a="1"/>
  <c r="M430" i="1" s="1"/>
  <c r="M431" i="1" a="1"/>
  <c r="M431" i="1" s="1"/>
  <c r="M432" i="1" a="1"/>
  <c r="M432" i="1" s="1"/>
  <c r="M433" i="1" a="1"/>
  <c r="M433" i="1" s="1"/>
  <c r="M434" i="1" a="1"/>
  <c r="M434" i="1" s="1"/>
  <c r="M435" i="1" a="1"/>
  <c r="M435" i="1" s="1"/>
  <c r="M436" i="1" a="1"/>
  <c r="M436" i="1" s="1"/>
  <c r="M437" i="1" a="1"/>
  <c r="M437" i="1" s="1"/>
  <c r="M438" i="1" a="1"/>
  <c r="M438" i="1" s="1"/>
  <c r="M439" i="1" a="1"/>
  <c r="M439" i="1" s="1"/>
  <c r="M440" i="1" a="1"/>
  <c r="M440" i="1" s="1"/>
  <c r="M441" i="1" a="1"/>
  <c r="M441" i="1" s="1"/>
  <c r="M442" i="1" a="1"/>
  <c r="M442" i="1" s="1"/>
  <c r="M443" i="1" a="1"/>
  <c r="M443" i="1" s="1"/>
  <c r="M444" i="1" a="1"/>
  <c r="M444" i="1" s="1"/>
  <c r="M445" i="1" a="1"/>
  <c r="M445" i="1" s="1"/>
  <c r="M446" i="1" a="1"/>
  <c r="M446" i="1" s="1"/>
  <c r="M447" i="1" a="1"/>
  <c r="M447" i="1" s="1"/>
  <c r="M448" i="1" a="1"/>
  <c r="M448" i="1" s="1"/>
  <c r="M449" i="1" a="1"/>
  <c r="M449" i="1" s="1"/>
  <c r="M450" i="1" a="1"/>
  <c r="M450" i="1" s="1"/>
  <c r="M451" i="1" a="1"/>
  <c r="M451" i="1" s="1"/>
  <c r="M452" i="1" a="1"/>
  <c r="M452" i="1" s="1"/>
  <c r="M453" i="1" a="1"/>
  <c r="M453" i="1" s="1"/>
  <c r="M454" i="1" a="1"/>
  <c r="M454" i="1" s="1"/>
  <c r="M455" i="1" a="1"/>
  <c r="M455" i="1" s="1"/>
  <c r="M456" i="1" a="1"/>
  <c r="M456" i="1" s="1"/>
  <c r="M457" i="1" a="1"/>
  <c r="M457" i="1" s="1"/>
  <c r="M458" i="1" a="1"/>
  <c r="M458" i="1" s="1"/>
  <c r="M459" i="1" a="1"/>
  <c r="M459" i="1" s="1"/>
  <c r="M460" i="1" a="1"/>
  <c r="M460" i="1" s="1"/>
  <c r="M461" i="1" a="1"/>
  <c r="M461" i="1" s="1"/>
  <c r="M462" i="1" a="1"/>
  <c r="M462" i="1" s="1"/>
  <c r="M463" i="1" a="1"/>
  <c r="M463" i="1" s="1"/>
  <c r="M464" i="1" a="1"/>
  <c r="M464" i="1" s="1"/>
  <c r="M465" i="1" a="1"/>
  <c r="M465" i="1" s="1"/>
  <c r="M466" i="1" a="1"/>
  <c r="M466" i="1" s="1"/>
  <c r="M467" i="1" a="1"/>
  <c r="M467" i="1" s="1"/>
  <c r="M468" i="1" a="1"/>
  <c r="M468" i="1" s="1"/>
  <c r="M469" i="1" a="1"/>
  <c r="M469" i="1" s="1"/>
  <c r="M470" i="1" a="1"/>
  <c r="M470" i="1" s="1"/>
  <c r="M471" i="1" a="1"/>
  <c r="M471" i="1" s="1"/>
  <c r="M472" i="1" a="1"/>
  <c r="M472" i="1" s="1"/>
  <c r="M473" i="1" a="1"/>
  <c r="M473" i="1" s="1"/>
  <c r="M474" i="1" a="1"/>
  <c r="M474" i="1" s="1"/>
  <c r="M475" i="1" a="1"/>
  <c r="M475" i="1" s="1"/>
  <c r="M476" i="1" a="1"/>
  <c r="M476" i="1" s="1"/>
  <c r="M477" i="1" a="1"/>
  <c r="M477" i="1" s="1"/>
  <c r="M478" i="1" a="1"/>
  <c r="M478" i="1" s="1"/>
  <c r="M479" i="1" a="1"/>
  <c r="M479" i="1" s="1"/>
  <c r="M480" i="1" a="1"/>
  <c r="M480" i="1" s="1"/>
  <c r="M481" i="1" a="1"/>
  <c r="M481" i="1" s="1"/>
  <c r="M482" i="1" a="1"/>
  <c r="M482" i="1" s="1"/>
  <c r="M483" i="1" a="1"/>
  <c r="M483" i="1" s="1"/>
  <c r="M484" i="1" a="1"/>
  <c r="M484" i="1" s="1"/>
  <c r="M485" i="1" a="1"/>
  <c r="M485" i="1" s="1"/>
  <c r="M486" i="1" a="1"/>
  <c r="M486" i="1" s="1"/>
  <c r="M487" i="1" a="1"/>
  <c r="M487" i="1" s="1"/>
  <c r="M488" i="1" a="1"/>
  <c r="M488" i="1" s="1"/>
  <c r="M489" i="1" a="1"/>
  <c r="M489" i="1" s="1"/>
  <c r="M490" i="1" a="1"/>
  <c r="M490" i="1" s="1"/>
  <c r="M491" i="1" a="1"/>
  <c r="M491" i="1" s="1"/>
  <c r="M492" i="1" a="1"/>
  <c r="M492" i="1" s="1"/>
  <c r="M493" i="1" a="1"/>
  <c r="M493" i="1" s="1"/>
  <c r="M494" i="1" a="1"/>
  <c r="M494" i="1" s="1"/>
  <c r="M495" i="1" a="1"/>
  <c r="M495" i="1" s="1"/>
  <c r="M496" i="1" a="1"/>
  <c r="M496" i="1" s="1"/>
  <c r="M497" i="1" a="1"/>
  <c r="M497" i="1" s="1"/>
  <c r="M498" i="1" a="1"/>
  <c r="M498" i="1" s="1"/>
  <c r="M499" i="1" a="1"/>
  <c r="M499" i="1" s="1"/>
  <c r="M500" i="1" a="1"/>
  <c r="M500" i="1" s="1"/>
  <c r="M501" i="1" a="1"/>
  <c r="M501" i="1" s="1"/>
  <c r="M502" i="1" a="1"/>
  <c r="M502" i="1" s="1"/>
  <c r="M503" i="1" a="1"/>
  <c r="M503" i="1" s="1"/>
  <c r="M504" i="1" a="1"/>
  <c r="M504" i="1" s="1"/>
  <c r="M505" i="1" a="1"/>
  <c r="M505" i="1" s="1"/>
  <c r="M506" i="1" a="1"/>
  <c r="M506" i="1" s="1"/>
  <c r="M507" i="1" a="1"/>
  <c r="M507" i="1" s="1"/>
  <c r="M508" i="1" a="1"/>
  <c r="M508" i="1" s="1"/>
  <c r="M509" i="1" a="1"/>
  <c r="M509" i="1" s="1"/>
  <c r="M510" i="1" a="1"/>
  <c r="M510" i="1" s="1"/>
  <c r="M511" i="1" a="1"/>
  <c r="M511" i="1" s="1"/>
  <c r="M512" i="1" a="1"/>
  <c r="M512" i="1" s="1"/>
  <c r="M513" i="1" a="1"/>
  <c r="M513" i="1" s="1"/>
  <c r="M514" i="1" a="1"/>
  <c r="M514" i="1" s="1"/>
  <c r="M515" i="1" a="1"/>
  <c r="M515" i="1" s="1"/>
  <c r="M516" i="1" a="1"/>
  <c r="M516" i="1" s="1"/>
  <c r="M517" i="1" a="1"/>
  <c r="M517" i="1" s="1"/>
  <c r="M518" i="1" a="1"/>
  <c r="M518" i="1" s="1"/>
  <c r="M519" i="1" a="1"/>
  <c r="M519" i="1" s="1"/>
  <c r="M520" i="1" a="1"/>
  <c r="M520" i="1" s="1"/>
  <c r="M521" i="1" a="1"/>
  <c r="M521" i="1" s="1"/>
  <c r="M522" i="1" a="1"/>
  <c r="M522" i="1" s="1"/>
  <c r="M523" i="1" a="1"/>
  <c r="M523" i="1" s="1"/>
  <c r="M524" i="1" a="1"/>
  <c r="M524" i="1" s="1"/>
  <c r="M525" i="1" a="1"/>
  <c r="M525" i="1" s="1"/>
  <c r="M526" i="1" a="1"/>
  <c r="M526" i="1" s="1"/>
  <c r="M527" i="1" a="1"/>
  <c r="M527" i="1" s="1"/>
  <c r="M528" i="1" a="1"/>
  <c r="M528" i="1" s="1"/>
  <c r="M529" i="1" a="1"/>
  <c r="M529" i="1" s="1"/>
  <c r="M530" i="1" a="1"/>
  <c r="M530" i="1" s="1"/>
  <c r="M531" i="1" a="1"/>
  <c r="M531" i="1" s="1"/>
  <c r="M532" i="1" a="1"/>
  <c r="M532" i="1" s="1"/>
  <c r="M533" i="1" a="1"/>
  <c r="M533" i="1" s="1"/>
  <c r="M534" i="1" a="1"/>
  <c r="M534" i="1" s="1"/>
  <c r="M535" i="1" a="1"/>
  <c r="M535" i="1" s="1"/>
  <c r="M536" i="1" a="1"/>
  <c r="M536" i="1" s="1"/>
  <c r="M537" i="1" a="1"/>
  <c r="M537" i="1" s="1"/>
  <c r="M538" i="1" a="1"/>
  <c r="M538" i="1" s="1"/>
  <c r="M539" i="1" a="1"/>
  <c r="M539" i="1" s="1"/>
  <c r="M540" i="1" a="1"/>
  <c r="M540" i="1" s="1"/>
  <c r="M541" i="1" a="1"/>
  <c r="M541" i="1" s="1"/>
  <c r="M542" i="1" a="1"/>
  <c r="M542" i="1" s="1"/>
  <c r="M543" i="1" a="1"/>
  <c r="M543" i="1" s="1"/>
  <c r="M544" i="1" a="1"/>
  <c r="M544" i="1" s="1"/>
  <c r="M545" i="1" a="1"/>
  <c r="M545" i="1" s="1"/>
  <c r="M546" i="1" a="1"/>
  <c r="M546" i="1" s="1"/>
  <c r="M547" i="1" a="1"/>
  <c r="M547" i="1" s="1"/>
  <c r="M548" i="1" a="1"/>
  <c r="M548" i="1" s="1"/>
  <c r="M549" i="1" a="1"/>
  <c r="M549" i="1" s="1"/>
  <c r="M550" i="1" a="1"/>
  <c r="M550" i="1" s="1"/>
  <c r="M551" i="1" a="1"/>
  <c r="M551" i="1" s="1"/>
  <c r="M552" i="1" a="1"/>
  <c r="M552" i="1" s="1"/>
  <c r="M553" i="1" a="1"/>
  <c r="M553" i="1" s="1"/>
  <c r="M554" i="1" a="1"/>
  <c r="M554" i="1" s="1"/>
  <c r="M555" i="1" a="1"/>
  <c r="M555" i="1" s="1"/>
  <c r="M556" i="1" a="1"/>
  <c r="M556" i="1" s="1"/>
  <c r="M557" i="1" a="1"/>
  <c r="M557" i="1" s="1"/>
  <c r="M558" i="1" a="1"/>
  <c r="M558" i="1" s="1"/>
  <c r="M559" i="1" a="1"/>
  <c r="M559" i="1" s="1"/>
  <c r="M560" i="1" a="1"/>
  <c r="M560" i="1" s="1"/>
  <c r="M561" i="1" a="1"/>
  <c r="M561" i="1" s="1"/>
  <c r="M562" i="1" a="1"/>
  <c r="M562" i="1" s="1"/>
  <c r="M563" i="1" a="1"/>
  <c r="M563" i="1" s="1"/>
  <c r="M564" i="1" a="1"/>
  <c r="M564" i="1" s="1"/>
  <c r="M565" i="1" a="1"/>
  <c r="M565" i="1" s="1"/>
  <c r="M566" i="1" a="1"/>
  <c r="M566" i="1" s="1"/>
  <c r="M567" i="1" a="1"/>
  <c r="M567" i="1" s="1"/>
  <c r="M568" i="1" a="1"/>
  <c r="M568" i="1" s="1"/>
  <c r="M569" i="1" a="1"/>
  <c r="M569" i="1" s="1"/>
  <c r="M570" i="1" a="1"/>
  <c r="M570" i="1" s="1"/>
  <c r="M571" i="1" a="1"/>
  <c r="M571" i="1" s="1"/>
  <c r="M572" i="1" a="1"/>
  <c r="M572" i="1" s="1"/>
  <c r="M573" i="1" a="1"/>
  <c r="M573" i="1" s="1"/>
  <c r="M574" i="1" a="1"/>
  <c r="M574" i="1" s="1"/>
  <c r="M575" i="1" a="1"/>
  <c r="M575" i="1" s="1"/>
  <c r="M576" i="1" a="1"/>
  <c r="M576" i="1" s="1"/>
  <c r="M577" i="1" a="1"/>
  <c r="M577" i="1" s="1"/>
  <c r="M578" i="1" a="1"/>
  <c r="M578" i="1" s="1"/>
  <c r="M579" i="1" a="1"/>
  <c r="M579" i="1" s="1"/>
  <c r="M580" i="1" a="1"/>
  <c r="M580" i="1" s="1"/>
  <c r="M581" i="1" a="1"/>
  <c r="M581" i="1" s="1"/>
  <c r="M582" i="1" a="1"/>
  <c r="M582" i="1" s="1"/>
  <c r="M583" i="1" a="1"/>
  <c r="M583" i="1" s="1"/>
  <c r="M584" i="1" a="1"/>
  <c r="M584" i="1" s="1"/>
  <c r="M585" i="1" a="1"/>
  <c r="M585" i="1" s="1"/>
  <c r="M586" i="1" a="1"/>
  <c r="M586" i="1" s="1"/>
  <c r="M587" i="1" a="1"/>
  <c r="M587" i="1" s="1"/>
  <c r="M588" i="1" a="1"/>
  <c r="M588" i="1" s="1"/>
  <c r="M589" i="1" a="1"/>
  <c r="M589" i="1" s="1"/>
  <c r="M590" i="1" a="1"/>
  <c r="M590" i="1" s="1"/>
  <c r="M591" i="1" a="1"/>
  <c r="M591" i="1" s="1"/>
  <c r="M592" i="1" a="1"/>
  <c r="M592" i="1" s="1"/>
  <c r="M593" i="1" a="1"/>
  <c r="M593" i="1" s="1"/>
  <c r="M594" i="1" a="1"/>
  <c r="M594" i="1" s="1"/>
  <c r="M595" i="1" a="1"/>
  <c r="M595" i="1" s="1"/>
  <c r="M596" i="1" a="1"/>
  <c r="M596" i="1" s="1"/>
  <c r="M597" i="1" a="1"/>
  <c r="M597" i="1" s="1"/>
  <c r="M598" i="1" a="1"/>
  <c r="M598" i="1" s="1"/>
  <c r="M599" i="1" a="1"/>
  <c r="M599" i="1" s="1"/>
  <c r="M600" i="1" a="1"/>
  <c r="M600" i="1" s="1"/>
  <c r="M601" i="1" a="1"/>
  <c r="M601" i="1" s="1"/>
  <c r="M602" i="1" a="1"/>
  <c r="M602" i="1" s="1"/>
  <c r="M603" i="1" a="1"/>
  <c r="M603" i="1" s="1"/>
  <c r="M604" i="1" a="1"/>
  <c r="M604" i="1" s="1"/>
  <c r="M605" i="1" a="1"/>
  <c r="M605" i="1" s="1"/>
  <c r="M606" i="1" a="1"/>
  <c r="M606" i="1" s="1"/>
  <c r="M607" i="1" a="1"/>
  <c r="M607" i="1" s="1"/>
  <c r="M608" i="1" a="1"/>
  <c r="M608" i="1" s="1"/>
  <c r="M609" i="1" a="1"/>
  <c r="M609" i="1" s="1"/>
  <c r="M610" i="1" a="1"/>
  <c r="M610" i="1" s="1"/>
  <c r="M611" i="1" a="1"/>
  <c r="M611" i="1" s="1"/>
  <c r="M612" i="1" a="1"/>
  <c r="M612" i="1" s="1"/>
  <c r="M613" i="1" a="1"/>
  <c r="M613" i="1" s="1"/>
  <c r="M614" i="1" a="1"/>
  <c r="M614" i="1" s="1"/>
  <c r="M615" i="1" a="1"/>
  <c r="M615" i="1" s="1"/>
  <c r="M616" i="1" a="1"/>
  <c r="M616" i="1" s="1"/>
  <c r="M617" i="1" a="1"/>
  <c r="M617" i="1" s="1"/>
  <c r="M618" i="1" a="1"/>
  <c r="M618" i="1" s="1"/>
  <c r="M619" i="1" a="1"/>
  <c r="M619" i="1" s="1"/>
  <c r="M620" i="1" a="1"/>
  <c r="M620" i="1" s="1"/>
  <c r="M621" i="1" a="1"/>
  <c r="M621" i="1" s="1"/>
  <c r="M622" i="1" a="1"/>
  <c r="M622" i="1" s="1"/>
  <c r="M623" i="1" a="1"/>
  <c r="M623" i="1" s="1"/>
  <c r="M624" i="1" a="1"/>
  <c r="M624" i="1" s="1"/>
  <c r="M625" i="1" a="1"/>
  <c r="M625" i="1" s="1"/>
  <c r="M626" i="1" a="1"/>
  <c r="M626" i="1" s="1"/>
  <c r="M627" i="1" a="1"/>
  <c r="M627" i="1" s="1"/>
  <c r="M628" i="1" a="1"/>
  <c r="M628" i="1" s="1"/>
  <c r="M629" i="1" a="1"/>
  <c r="M629" i="1" s="1"/>
  <c r="M630" i="1" a="1"/>
  <c r="M630" i="1" s="1"/>
  <c r="M631" i="1" a="1"/>
  <c r="M631" i="1" s="1"/>
  <c r="M632" i="1" a="1"/>
  <c r="M632" i="1" s="1"/>
  <c r="M633" i="1" a="1"/>
  <c r="M633" i="1" s="1"/>
  <c r="M634" i="1" a="1"/>
  <c r="M634" i="1" s="1"/>
  <c r="M635" i="1" a="1"/>
  <c r="M635" i="1" s="1"/>
  <c r="M636" i="1" a="1"/>
  <c r="M636" i="1" s="1"/>
  <c r="M637" i="1" a="1"/>
  <c r="M637" i="1" s="1"/>
  <c r="M638" i="1" a="1"/>
  <c r="M638" i="1" s="1"/>
  <c r="M639" i="1" a="1"/>
  <c r="M639" i="1" s="1"/>
  <c r="M640" i="1" a="1"/>
  <c r="M640" i="1" s="1"/>
  <c r="M641" i="1" a="1"/>
  <c r="M641" i="1" s="1"/>
  <c r="M642" i="1" a="1"/>
  <c r="M642" i="1" s="1"/>
  <c r="M643" i="1" a="1"/>
  <c r="M643" i="1" s="1"/>
  <c r="M644" i="1" a="1"/>
  <c r="M644" i="1" s="1"/>
  <c r="M645" i="1" a="1"/>
  <c r="M645" i="1" s="1"/>
  <c r="M646" i="1" a="1"/>
  <c r="M646" i="1" s="1"/>
  <c r="M647" i="1" a="1"/>
  <c r="M647" i="1" s="1"/>
  <c r="M648" i="1" a="1"/>
  <c r="M648" i="1" s="1"/>
  <c r="M649" i="1" a="1"/>
  <c r="M649" i="1" s="1"/>
  <c r="M650" i="1" a="1"/>
  <c r="M650" i="1" s="1"/>
  <c r="M651" i="1" a="1"/>
  <c r="M651" i="1" s="1"/>
  <c r="M652" i="1" a="1"/>
  <c r="M652" i="1" s="1"/>
  <c r="M653" i="1" a="1"/>
  <c r="M653" i="1" s="1"/>
  <c r="M654" i="1" a="1"/>
  <c r="M654" i="1" s="1"/>
  <c r="M655" i="1" a="1"/>
  <c r="M655" i="1" s="1"/>
  <c r="M656" i="1" a="1"/>
  <c r="M656" i="1" s="1"/>
  <c r="M657" i="1" a="1"/>
  <c r="M657" i="1" s="1"/>
  <c r="M658" i="1" a="1"/>
  <c r="M658" i="1" s="1"/>
  <c r="M659" i="1" a="1"/>
  <c r="M659" i="1" s="1"/>
  <c r="M660" i="1" a="1"/>
  <c r="M660" i="1" s="1"/>
  <c r="M661" i="1" a="1"/>
  <c r="M661" i="1" s="1"/>
  <c r="M662" i="1" a="1"/>
  <c r="M662" i="1" s="1"/>
  <c r="M663" i="1" a="1"/>
  <c r="M663" i="1" s="1"/>
  <c r="M664" i="1" a="1"/>
  <c r="M664" i="1" s="1"/>
  <c r="M665" i="1" a="1"/>
  <c r="M665" i="1" s="1"/>
  <c r="M666" i="1" a="1"/>
  <c r="M666" i="1" s="1"/>
  <c r="M667" i="1" a="1"/>
  <c r="M667" i="1" s="1"/>
  <c r="M668" i="1" a="1"/>
  <c r="M668" i="1" s="1"/>
  <c r="M669" i="1" a="1"/>
  <c r="M669" i="1" s="1"/>
  <c r="M670" i="1" a="1"/>
  <c r="M670" i="1" s="1"/>
  <c r="M671" i="1" a="1"/>
  <c r="M671" i="1" s="1"/>
  <c r="M672" i="1" a="1"/>
  <c r="M672" i="1" s="1"/>
  <c r="M673" i="1" a="1"/>
  <c r="M673" i="1" s="1"/>
  <c r="M674" i="1" a="1"/>
  <c r="M674" i="1" s="1"/>
  <c r="M675" i="1" a="1"/>
  <c r="M675" i="1" s="1"/>
  <c r="M676" i="1" a="1"/>
  <c r="M676" i="1" s="1"/>
  <c r="M677" i="1" a="1"/>
  <c r="M677" i="1" s="1"/>
  <c r="M678" i="1" a="1"/>
  <c r="M678" i="1" s="1"/>
  <c r="M679" i="1" a="1"/>
  <c r="M679" i="1" s="1"/>
  <c r="M680" i="1" a="1"/>
  <c r="M680" i="1" s="1"/>
  <c r="M681" i="1" a="1"/>
  <c r="M681" i="1" s="1"/>
  <c r="M682" i="1" a="1"/>
  <c r="M682" i="1" s="1"/>
  <c r="M683" i="1" a="1"/>
  <c r="M683" i="1" s="1"/>
  <c r="M684" i="1" a="1"/>
  <c r="M684" i="1" s="1"/>
  <c r="M685" i="1" a="1"/>
  <c r="M685" i="1" s="1"/>
  <c r="M686" i="1" a="1"/>
  <c r="M686" i="1" s="1"/>
  <c r="M687" i="1" a="1"/>
  <c r="M687" i="1" s="1"/>
  <c r="M688" i="1" a="1"/>
  <c r="M688" i="1" s="1"/>
  <c r="M689" i="1" a="1"/>
  <c r="M689" i="1" s="1"/>
  <c r="M690" i="1" a="1"/>
  <c r="M690" i="1" s="1"/>
  <c r="M691" i="1" a="1"/>
  <c r="M691" i="1" s="1"/>
  <c r="M692" i="1" a="1"/>
  <c r="M692" i="1" s="1"/>
  <c r="M693" i="1" a="1"/>
  <c r="M693" i="1" s="1"/>
  <c r="M694" i="1" a="1"/>
  <c r="M694" i="1" s="1"/>
  <c r="M695" i="1" a="1"/>
  <c r="M695" i="1" s="1"/>
  <c r="M696" i="1" a="1"/>
  <c r="M696" i="1" s="1"/>
  <c r="M697" i="1" a="1"/>
  <c r="M697" i="1" s="1"/>
  <c r="M698" i="1" a="1"/>
  <c r="M698" i="1" s="1"/>
  <c r="M699" i="1" a="1"/>
  <c r="M699" i="1" s="1"/>
  <c r="M700" i="1" a="1"/>
  <c r="M700" i="1" s="1"/>
  <c r="M701" i="1" a="1"/>
  <c r="M701" i="1" s="1"/>
  <c r="M702" i="1" a="1"/>
  <c r="M702" i="1" s="1"/>
  <c r="M703" i="1" a="1"/>
  <c r="M703" i="1" s="1"/>
  <c r="M704" i="1" a="1"/>
  <c r="M704" i="1" s="1"/>
  <c r="M705" i="1" a="1"/>
  <c r="M705" i="1" s="1"/>
  <c r="M706" i="1" a="1"/>
  <c r="M706" i="1" s="1"/>
  <c r="M707" i="1" a="1"/>
  <c r="M707" i="1" s="1"/>
  <c r="M708" i="1" a="1"/>
  <c r="M708" i="1" s="1"/>
  <c r="M709" i="1" a="1"/>
  <c r="M709" i="1" s="1"/>
  <c r="M710" i="1" a="1"/>
  <c r="M710" i="1" s="1"/>
  <c r="M711" i="1" a="1"/>
  <c r="M711" i="1" s="1"/>
  <c r="M712" i="1" a="1"/>
  <c r="M712" i="1" s="1"/>
  <c r="M713" i="1" a="1"/>
  <c r="M713" i="1" s="1"/>
  <c r="M714" i="1" a="1"/>
  <c r="M714" i="1" s="1"/>
  <c r="M715" i="1" a="1"/>
  <c r="M715" i="1" s="1"/>
  <c r="M716" i="1" a="1"/>
  <c r="M716" i="1" s="1"/>
  <c r="M717" i="1" a="1"/>
  <c r="M717" i="1" s="1"/>
  <c r="M718" i="1" a="1"/>
  <c r="M718" i="1" s="1"/>
  <c r="M719" i="1" a="1"/>
  <c r="M719" i="1" s="1"/>
  <c r="M720" i="1" a="1"/>
  <c r="M720" i="1" s="1"/>
  <c r="M721" i="1" a="1"/>
  <c r="M721" i="1" s="1"/>
  <c r="M722" i="1" a="1"/>
  <c r="M722" i="1" s="1"/>
  <c r="M723" i="1" a="1"/>
  <c r="M723" i="1" s="1"/>
  <c r="M724" i="1" a="1"/>
  <c r="M724" i="1" s="1"/>
  <c r="M725" i="1" a="1"/>
  <c r="M725" i="1" s="1"/>
  <c r="M726" i="1" a="1"/>
  <c r="M726" i="1" s="1"/>
  <c r="M727" i="1" a="1"/>
  <c r="M727" i="1" s="1"/>
  <c r="M728" i="1" a="1"/>
  <c r="M728" i="1" s="1"/>
  <c r="M729" i="1" a="1"/>
  <c r="M729" i="1" s="1"/>
  <c r="M730" i="1" a="1"/>
  <c r="M730" i="1" s="1"/>
  <c r="M731" i="1" a="1"/>
  <c r="M731" i="1" s="1"/>
  <c r="M732" i="1" a="1"/>
  <c r="M732" i="1" s="1"/>
  <c r="M733" i="1" a="1"/>
  <c r="M733" i="1" s="1"/>
  <c r="M734" i="1" a="1"/>
  <c r="M734" i="1" s="1"/>
  <c r="M735" i="1" a="1"/>
  <c r="M735" i="1" s="1"/>
  <c r="M736" i="1" a="1"/>
  <c r="M736" i="1" s="1"/>
  <c r="M737" i="1" a="1"/>
  <c r="M737" i="1" s="1"/>
  <c r="M738" i="1" a="1"/>
  <c r="M738" i="1" s="1"/>
  <c r="M739" i="1" a="1"/>
  <c r="M739" i="1" s="1"/>
  <c r="M740" i="1" a="1"/>
  <c r="M740" i="1" s="1"/>
  <c r="M741" i="1" a="1"/>
  <c r="M741" i="1" s="1"/>
  <c r="M742" i="1" a="1"/>
  <c r="M742" i="1" s="1"/>
  <c r="M743" i="1" a="1"/>
  <c r="M743" i="1" s="1"/>
  <c r="M744" i="1" a="1"/>
  <c r="M744" i="1" s="1"/>
  <c r="M745" i="1" a="1"/>
  <c r="M745" i="1" s="1"/>
  <c r="M746" i="1" a="1"/>
  <c r="M746" i="1" s="1"/>
  <c r="M747" i="1" a="1"/>
  <c r="M747" i="1" s="1"/>
  <c r="M748" i="1" a="1"/>
  <c r="M748" i="1" s="1"/>
  <c r="M749" i="1" a="1"/>
  <c r="M749" i="1" s="1"/>
  <c r="M750" i="1" a="1"/>
  <c r="M750" i="1" s="1"/>
  <c r="M751" i="1" a="1"/>
  <c r="M751" i="1" s="1"/>
  <c r="M752" i="1" a="1"/>
  <c r="M752" i="1" s="1"/>
  <c r="M753" i="1" a="1"/>
  <c r="M753" i="1" s="1"/>
  <c r="M754" i="1" a="1"/>
  <c r="M754" i="1" s="1"/>
  <c r="M755" i="1" a="1"/>
  <c r="M755" i="1" s="1"/>
  <c r="M756" i="1" a="1"/>
  <c r="M756" i="1" s="1"/>
  <c r="M757" i="1" a="1"/>
  <c r="M757" i="1" s="1"/>
  <c r="M758" i="1" a="1"/>
  <c r="M758" i="1" s="1"/>
  <c r="M759" i="1" a="1"/>
  <c r="M759" i="1" s="1"/>
  <c r="M760" i="1" a="1"/>
  <c r="M760" i="1" s="1"/>
  <c r="M761" i="1" a="1"/>
  <c r="M761" i="1" s="1"/>
  <c r="M762" i="1" a="1"/>
  <c r="M762" i="1" s="1"/>
  <c r="M763" i="1" a="1"/>
  <c r="M763" i="1" s="1"/>
  <c r="M764" i="1" a="1"/>
  <c r="M764" i="1" s="1"/>
  <c r="M765" i="1" a="1"/>
  <c r="M765" i="1" s="1"/>
  <c r="M766" i="1" a="1"/>
  <c r="M766" i="1" s="1"/>
  <c r="M767" i="1" a="1"/>
  <c r="M767" i="1" s="1"/>
  <c r="M768" i="1" a="1"/>
  <c r="M768" i="1" s="1"/>
  <c r="M769" i="1" a="1"/>
  <c r="M769" i="1" s="1"/>
  <c r="M770" i="1" a="1"/>
  <c r="M770" i="1" s="1"/>
  <c r="M771" i="1" a="1"/>
  <c r="M771" i="1" s="1"/>
  <c r="M772" i="1" a="1"/>
  <c r="M772" i="1" s="1"/>
  <c r="M773" i="1" a="1"/>
  <c r="M773" i="1" s="1"/>
  <c r="M774" i="1" a="1"/>
  <c r="M774" i="1" s="1"/>
  <c r="M775" i="1" a="1"/>
  <c r="M775" i="1" s="1"/>
  <c r="M776" i="1" a="1"/>
  <c r="M776" i="1" s="1"/>
  <c r="M777" i="1" a="1"/>
  <c r="M777" i="1" s="1"/>
  <c r="M778" i="1" a="1"/>
  <c r="M778" i="1" s="1"/>
  <c r="M779" i="1" a="1"/>
  <c r="M779" i="1" s="1"/>
  <c r="M780" i="1" a="1"/>
  <c r="M780" i="1" s="1"/>
  <c r="M781" i="1" a="1"/>
  <c r="M781" i="1" s="1"/>
  <c r="M782" i="1" a="1"/>
  <c r="M782" i="1" s="1"/>
  <c r="M783" i="1" a="1"/>
  <c r="M783" i="1" s="1"/>
  <c r="M784" i="1" a="1"/>
  <c r="M784" i="1" s="1"/>
  <c r="M785" i="1" a="1"/>
  <c r="M785" i="1" s="1"/>
  <c r="M786" i="1" a="1"/>
  <c r="M786" i="1" s="1"/>
  <c r="M787" i="1" a="1"/>
  <c r="M787" i="1" s="1"/>
  <c r="M788" i="1" a="1"/>
  <c r="M788" i="1" s="1"/>
  <c r="M789" i="1" a="1"/>
  <c r="M789" i="1" s="1"/>
  <c r="M790" i="1" a="1"/>
  <c r="M790" i="1" s="1"/>
  <c r="M791" i="1" a="1"/>
  <c r="M791" i="1" s="1"/>
  <c r="M792" i="1" a="1"/>
  <c r="M792" i="1" s="1"/>
  <c r="M793" i="1" a="1"/>
  <c r="M793" i="1" s="1"/>
  <c r="M794" i="1" a="1"/>
  <c r="M794" i="1" s="1"/>
  <c r="M795" i="1" a="1"/>
  <c r="M795" i="1" s="1"/>
  <c r="M796" i="1" a="1"/>
  <c r="M796" i="1" s="1"/>
  <c r="M797" i="1" a="1"/>
  <c r="M797" i="1" s="1"/>
  <c r="M798" i="1" a="1"/>
  <c r="M798" i="1" s="1"/>
  <c r="M799" i="1" a="1"/>
  <c r="M799" i="1" s="1"/>
  <c r="M800" i="1" a="1"/>
  <c r="M800" i="1" s="1"/>
  <c r="M801" i="1" a="1"/>
  <c r="M801" i="1" s="1"/>
  <c r="M802" i="1" a="1"/>
  <c r="M802" i="1" s="1"/>
  <c r="M803" i="1" a="1"/>
  <c r="M803" i="1" s="1"/>
  <c r="M804" i="1" a="1"/>
  <c r="M804" i="1" s="1"/>
  <c r="M805" i="1" a="1"/>
  <c r="M805" i="1" s="1"/>
  <c r="M806" i="1" a="1"/>
  <c r="M806" i="1" s="1"/>
  <c r="M807" i="1" a="1"/>
  <c r="M807" i="1" s="1"/>
  <c r="M808" i="1" a="1"/>
  <c r="M808" i="1" s="1"/>
  <c r="M809" i="1" a="1"/>
  <c r="M809" i="1" s="1"/>
  <c r="M810" i="1" a="1"/>
  <c r="M810" i="1" s="1"/>
  <c r="M811" i="1" a="1"/>
  <c r="M811" i="1" s="1"/>
  <c r="M812" i="1" a="1"/>
  <c r="M812" i="1" s="1"/>
  <c r="M813" i="1" a="1"/>
  <c r="M813" i="1" s="1"/>
  <c r="M814" i="1" a="1"/>
  <c r="M814" i="1" s="1"/>
  <c r="M815" i="1" a="1"/>
  <c r="M815" i="1" s="1"/>
  <c r="M816" i="1" a="1"/>
  <c r="M816" i="1" s="1"/>
  <c r="M817" i="1" a="1"/>
  <c r="M817" i="1" s="1"/>
  <c r="M818" i="1" a="1"/>
  <c r="M818" i="1" s="1"/>
  <c r="M819" i="1" a="1"/>
  <c r="M819" i="1" s="1"/>
  <c r="M820" i="1" a="1"/>
  <c r="M820" i="1" s="1"/>
  <c r="M821" i="1" a="1"/>
  <c r="M821" i="1" s="1"/>
  <c r="M822" i="1" a="1"/>
  <c r="M822" i="1" s="1"/>
  <c r="M823" i="1" a="1"/>
  <c r="M823" i="1" s="1"/>
  <c r="M824" i="1" a="1"/>
  <c r="M824" i="1" s="1"/>
  <c r="M825" i="1" a="1"/>
  <c r="M825" i="1" s="1"/>
  <c r="M826" i="1" a="1"/>
  <c r="M826" i="1" s="1"/>
  <c r="M827" i="1" a="1"/>
  <c r="M827" i="1" s="1"/>
  <c r="M828" i="1" a="1"/>
  <c r="M828" i="1" s="1"/>
  <c r="M829" i="1" a="1"/>
  <c r="M829" i="1" s="1"/>
  <c r="M830" i="1" a="1"/>
  <c r="M830" i="1" s="1"/>
  <c r="M831" i="1" a="1"/>
  <c r="M831" i="1" s="1"/>
  <c r="M832" i="1" a="1"/>
  <c r="M832" i="1" s="1"/>
  <c r="M833" i="1" a="1"/>
  <c r="M833" i="1" s="1"/>
  <c r="M834" i="1" a="1"/>
  <c r="M834" i="1" s="1"/>
  <c r="M835" i="1" a="1"/>
  <c r="M835" i="1" s="1"/>
  <c r="M836" i="1" a="1"/>
  <c r="M836" i="1" s="1"/>
  <c r="M837" i="1" a="1"/>
  <c r="M837" i="1" s="1"/>
  <c r="M838" i="1" a="1"/>
  <c r="M838" i="1" s="1"/>
  <c r="M839" i="1" a="1"/>
  <c r="M839" i="1" s="1"/>
  <c r="M840" i="1" a="1"/>
  <c r="M840" i="1" s="1"/>
  <c r="M841" i="1" a="1"/>
  <c r="M841" i="1" s="1"/>
  <c r="M842" i="1" a="1"/>
  <c r="M842" i="1" s="1"/>
  <c r="M843" i="1" a="1"/>
  <c r="M843" i="1" s="1"/>
  <c r="M844" i="1" a="1"/>
  <c r="M844" i="1" s="1"/>
  <c r="M845" i="1" a="1"/>
  <c r="M845" i="1" s="1"/>
  <c r="M846" i="1" a="1"/>
  <c r="M846" i="1" s="1"/>
  <c r="M847" i="1" a="1"/>
  <c r="M847" i="1" s="1"/>
  <c r="M848" i="1" a="1"/>
  <c r="M848" i="1" s="1"/>
  <c r="M849" i="1" a="1"/>
  <c r="M849" i="1" s="1"/>
  <c r="M850" i="1" a="1"/>
  <c r="M850" i="1" s="1"/>
  <c r="M851" i="1" a="1"/>
  <c r="M851" i="1" s="1"/>
  <c r="M852" i="1" a="1"/>
  <c r="M852" i="1" s="1"/>
  <c r="M853" i="1" a="1"/>
  <c r="M853" i="1" s="1"/>
  <c r="M854" i="1" a="1"/>
  <c r="M854" i="1" s="1"/>
  <c r="M855" i="1" a="1"/>
  <c r="M855" i="1" s="1"/>
  <c r="M856" i="1" a="1"/>
  <c r="M856" i="1" s="1"/>
  <c r="M857" i="1" a="1"/>
  <c r="M857" i="1" s="1"/>
  <c r="M858" i="1" a="1"/>
  <c r="M858" i="1" s="1"/>
  <c r="M859" i="1" a="1"/>
  <c r="M859" i="1" s="1"/>
  <c r="M860" i="1" a="1"/>
  <c r="M860" i="1" s="1"/>
  <c r="M861" i="1" a="1"/>
  <c r="M861" i="1" s="1"/>
  <c r="M862" i="1" a="1"/>
  <c r="M862" i="1" s="1"/>
  <c r="M863" i="1" a="1"/>
  <c r="M863" i="1" s="1"/>
  <c r="M864" i="1" a="1"/>
  <c r="M864" i="1" s="1"/>
  <c r="M865" i="1" a="1"/>
  <c r="M865" i="1" s="1"/>
  <c r="M866" i="1" a="1"/>
  <c r="M866" i="1" s="1"/>
  <c r="M867" i="1" a="1"/>
  <c r="M867" i="1" s="1"/>
  <c r="M868" i="1" a="1"/>
  <c r="M868" i="1" s="1"/>
  <c r="M869" i="1" a="1"/>
  <c r="M869" i="1" s="1"/>
  <c r="M870" i="1" a="1"/>
  <c r="M870" i="1" s="1"/>
  <c r="M871" i="1" a="1"/>
  <c r="M871" i="1" s="1"/>
  <c r="M872" i="1" a="1"/>
  <c r="M872" i="1" s="1"/>
  <c r="M873" i="1" a="1"/>
  <c r="M873" i="1" s="1"/>
  <c r="M874" i="1" a="1"/>
  <c r="M874" i="1" s="1"/>
  <c r="M875" i="1" a="1"/>
  <c r="M875" i="1" s="1"/>
  <c r="M876" i="1" a="1"/>
  <c r="M876" i="1" s="1"/>
  <c r="M877" i="1" a="1"/>
  <c r="M877" i="1" s="1"/>
  <c r="M878" i="1" a="1"/>
  <c r="M878" i="1" s="1"/>
  <c r="M879" i="1" a="1"/>
  <c r="M879" i="1" s="1"/>
  <c r="M880" i="1" a="1"/>
  <c r="M880" i="1" s="1"/>
  <c r="M881" i="1" a="1"/>
  <c r="M881" i="1" s="1"/>
  <c r="M882" i="1" a="1"/>
  <c r="M882" i="1" s="1"/>
  <c r="M883" i="1" a="1"/>
  <c r="M883" i="1" s="1"/>
  <c r="M884" i="1" a="1"/>
  <c r="M884" i="1" s="1"/>
  <c r="M885" i="1" a="1"/>
  <c r="M885" i="1" s="1"/>
  <c r="M886" i="1" a="1"/>
  <c r="M886" i="1" s="1"/>
  <c r="M887" i="1" a="1"/>
  <c r="M887" i="1" s="1"/>
  <c r="M888" i="1" a="1"/>
  <c r="M888" i="1" s="1"/>
  <c r="M889" i="1" a="1"/>
  <c r="M889" i="1" s="1"/>
  <c r="M890" i="1" a="1"/>
  <c r="M890" i="1" s="1"/>
  <c r="M891" i="1" a="1"/>
  <c r="M891" i="1" s="1"/>
  <c r="M892" i="1" a="1"/>
  <c r="M892" i="1" s="1"/>
  <c r="M893" i="1" a="1"/>
  <c r="M893" i="1" s="1"/>
  <c r="M894" i="1" a="1"/>
  <c r="M894" i="1" s="1"/>
  <c r="M895" i="1" a="1"/>
  <c r="M895" i="1" s="1"/>
  <c r="M896" i="1" a="1"/>
  <c r="M896" i="1" s="1"/>
  <c r="M897" i="1" a="1"/>
  <c r="M897" i="1" s="1"/>
  <c r="M898" i="1" a="1"/>
  <c r="M898" i="1" s="1"/>
  <c r="M899" i="1" a="1"/>
  <c r="M899" i="1" s="1"/>
  <c r="M900" i="1" a="1"/>
  <c r="M900" i="1" s="1"/>
  <c r="M901" i="1" a="1"/>
  <c r="M901" i="1" s="1"/>
  <c r="M902" i="1" a="1"/>
  <c r="M902" i="1" s="1"/>
  <c r="M903" i="1" a="1"/>
  <c r="M903" i="1" s="1"/>
  <c r="M904" i="1" a="1"/>
  <c r="M904" i="1" s="1"/>
  <c r="M905" i="1" a="1"/>
  <c r="M905" i="1" s="1"/>
  <c r="M906" i="1" a="1"/>
  <c r="M906" i="1" s="1"/>
  <c r="M907" i="1" a="1"/>
  <c r="M907" i="1" s="1"/>
  <c r="M908" i="1" a="1"/>
  <c r="M908" i="1" s="1"/>
  <c r="M909" i="1" a="1"/>
  <c r="M909" i="1" s="1"/>
  <c r="M910" i="1" a="1"/>
  <c r="M910" i="1" s="1"/>
  <c r="M911" i="1" a="1"/>
  <c r="M911" i="1" s="1"/>
  <c r="M912" i="1" a="1"/>
  <c r="M912" i="1" s="1"/>
  <c r="M913" i="1" a="1"/>
  <c r="M913" i="1" s="1"/>
  <c r="M914" i="1" a="1"/>
  <c r="M914" i="1" s="1"/>
  <c r="M915" i="1" a="1"/>
  <c r="M915" i="1" s="1"/>
  <c r="M916" i="1" a="1"/>
  <c r="M916" i="1" s="1"/>
  <c r="M917" i="1" a="1"/>
  <c r="M917" i="1" s="1"/>
  <c r="M918" i="1" a="1"/>
  <c r="M918" i="1" s="1"/>
  <c r="M919" i="1" a="1"/>
  <c r="M919" i="1" s="1"/>
  <c r="M920" i="1" a="1"/>
  <c r="M920" i="1" s="1"/>
  <c r="M921" i="1" a="1"/>
  <c r="M921" i="1" s="1"/>
  <c r="M922" i="1" a="1"/>
  <c r="M922" i="1" s="1"/>
  <c r="M923" i="1" a="1"/>
  <c r="M923" i="1" s="1"/>
  <c r="M924" i="1" a="1"/>
  <c r="M924" i="1" s="1"/>
  <c r="M925" i="1" a="1"/>
  <c r="M925" i="1" s="1"/>
  <c r="M926" i="1" a="1"/>
  <c r="M926" i="1" s="1"/>
  <c r="M927" i="1" a="1"/>
  <c r="M927" i="1" s="1"/>
  <c r="M928" i="1" a="1"/>
  <c r="M928" i="1" s="1"/>
  <c r="M929" i="1" a="1"/>
  <c r="M929" i="1" s="1"/>
  <c r="M930" i="1" a="1"/>
  <c r="M930" i="1" s="1"/>
  <c r="M931" i="1" a="1"/>
  <c r="M931" i="1" s="1"/>
  <c r="M932" i="1" a="1"/>
  <c r="M932" i="1" s="1"/>
  <c r="M933" i="1" a="1"/>
  <c r="M933" i="1" s="1"/>
  <c r="M934" i="1" a="1"/>
  <c r="M934" i="1" s="1"/>
  <c r="M935" i="1" a="1"/>
  <c r="M935" i="1" s="1"/>
  <c r="M936" i="1" a="1"/>
  <c r="M936" i="1" s="1"/>
  <c r="M937" i="1" a="1"/>
  <c r="M937" i="1" s="1"/>
  <c r="M938" i="1" a="1"/>
  <c r="M938" i="1" s="1"/>
  <c r="M939" i="1" a="1"/>
  <c r="M939" i="1" s="1"/>
  <c r="M940" i="1" a="1"/>
  <c r="M940" i="1" s="1"/>
  <c r="M941" i="1" a="1"/>
  <c r="M941" i="1" s="1"/>
  <c r="M942" i="1" a="1"/>
  <c r="M942" i="1" s="1"/>
  <c r="M943" i="1" a="1"/>
  <c r="M943" i="1" s="1"/>
  <c r="M944" i="1" a="1"/>
  <c r="M944" i="1" s="1"/>
  <c r="M945" i="1" a="1"/>
  <c r="M945" i="1" s="1"/>
  <c r="M946" i="1" a="1"/>
  <c r="M946" i="1" s="1"/>
  <c r="M947" i="1" a="1"/>
  <c r="M947" i="1" s="1"/>
  <c r="M948" i="1" a="1"/>
  <c r="M948" i="1" s="1"/>
  <c r="M949" i="1" a="1"/>
  <c r="M949" i="1" s="1"/>
  <c r="M950" i="1" a="1"/>
  <c r="M950" i="1" s="1"/>
  <c r="M951" i="1" a="1"/>
  <c r="M951" i="1" s="1"/>
  <c r="M952" i="1" a="1"/>
  <c r="M952" i="1" s="1"/>
  <c r="M953" i="1" a="1"/>
  <c r="M953" i="1" s="1"/>
  <c r="M954" i="1" a="1"/>
  <c r="M954" i="1" s="1"/>
  <c r="M955" i="1" a="1"/>
  <c r="M955" i="1" s="1"/>
  <c r="M956" i="1" a="1"/>
  <c r="M956" i="1" s="1"/>
  <c r="M957" i="1" a="1"/>
  <c r="M957" i="1" s="1"/>
  <c r="M958" i="1" a="1"/>
  <c r="M958" i="1" s="1"/>
  <c r="M959" i="1" a="1"/>
  <c r="M959" i="1" s="1"/>
  <c r="M960" i="1" a="1"/>
  <c r="M960" i="1" s="1"/>
  <c r="M961" i="1" a="1"/>
  <c r="M961" i="1" s="1"/>
  <c r="M962" i="1" a="1"/>
  <c r="M962" i="1" s="1"/>
  <c r="M963" i="1" a="1"/>
  <c r="M963" i="1" s="1"/>
  <c r="M964" i="1" a="1"/>
  <c r="M964" i="1" s="1"/>
  <c r="M965" i="1" a="1"/>
  <c r="M965" i="1" s="1"/>
  <c r="M966" i="1" a="1"/>
  <c r="M966" i="1" s="1"/>
  <c r="M967" i="1" a="1"/>
  <c r="M967" i="1" s="1"/>
  <c r="M968" i="1" a="1"/>
  <c r="M968" i="1" s="1"/>
  <c r="M969" i="1" a="1"/>
  <c r="M969" i="1" s="1"/>
  <c r="M970" i="1" a="1"/>
  <c r="M970" i="1" s="1"/>
  <c r="M971" i="1" a="1"/>
  <c r="M971" i="1" s="1"/>
  <c r="M972" i="1" a="1"/>
  <c r="M972" i="1" s="1"/>
  <c r="M973" i="1" a="1"/>
  <c r="M973" i="1" s="1"/>
  <c r="M974" i="1" a="1"/>
  <c r="M974" i="1" s="1"/>
  <c r="M975" i="1" a="1"/>
  <c r="M975" i="1" s="1"/>
  <c r="M976" i="1" a="1"/>
  <c r="M976" i="1" s="1"/>
  <c r="M977" i="1" a="1"/>
  <c r="M977" i="1" s="1"/>
  <c r="M978" i="1" a="1"/>
  <c r="M978" i="1" s="1"/>
  <c r="M979" i="1" a="1"/>
  <c r="M979" i="1" s="1"/>
  <c r="M980" i="1" a="1"/>
  <c r="M980" i="1" s="1"/>
  <c r="M981" i="1" a="1"/>
  <c r="M981" i="1" s="1"/>
  <c r="M982" i="1" a="1"/>
  <c r="M982" i="1" s="1"/>
  <c r="M983" i="1" a="1"/>
  <c r="M983" i="1" s="1"/>
  <c r="M984" i="1" a="1"/>
  <c r="M984" i="1" s="1"/>
  <c r="M985" i="1" a="1"/>
  <c r="M985" i="1" s="1"/>
  <c r="M986" i="1" a="1"/>
  <c r="M986" i="1" s="1"/>
  <c r="M987" i="1" a="1"/>
  <c r="M987" i="1" s="1"/>
  <c r="M988" i="1" a="1"/>
  <c r="M988" i="1" s="1"/>
  <c r="M989" i="1" a="1"/>
  <c r="M989" i="1" s="1"/>
  <c r="M990" i="1" a="1"/>
  <c r="M990" i="1" s="1"/>
  <c r="M991" i="1" a="1"/>
  <c r="M991" i="1" s="1"/>
  <c r="M992" i="1" a="1"/>
  <c r="M992" i="1" s="1"/>
  <c r="M993" i="1" a="1"/>
  <c r="M993" i="1" s="1"/>
  <c r="M994" i="1" a="1"/>
  <c r="M994" i="1" s="1"/>
  <c r="M995" i="1" a="1"/>
  <c r="M995" i="1" s="1"/>
  <c r="M996" i="1" a="1"/>
  <c r="M996" i="1" s="1"/>
  <c r="M997" i="1" a="1"/>
  <c r="M997" i="1" s="1"/>
  <c r="M998" i="1" a="1"/>
  <c r="M998" i="1" s="1"/>
  <c r="M999" i="1" a="1"/>
  <c r="M999" i="1" s="1"/>
  <c r="M1000" i="1" a="1"/>
  <c r="M1000" i="1" s="1"/>
  <c r="M1001" i="1" a="1"/>
  <c r="M1001" i="1" s="1"/>
  <c r="M1002" i="1" a="1"/>
  <c r="M1002" i="1" s="1"/>
  <c r="M1003" i="1" a="1"/>
  <c r="M1003" i="1" s="1"/>
  <c r="M1004" i="1" a="1"/>
  <c r="M1004" i="1" s="1"/>
  <c r="M1005" i="1" a="1"/>
  <c r="M1005" i="1" s="1"/>
  <c r="M1006" i="1" a="1"/>
  <c r="M1006" i="1" s="1"/>
  <c r="M1007" i="1" a="1"/>
  <c r="M1007" i="1" s="1"/>
  <c r="M1008" i="1" a="1"/>
  <c r="M1008" i="1" s="1"/>
  <c r="M1009" i="1" a="1"/>
  <c r="M1009" i="1" s="1"/>
  <c r="M1010" i="1" a="1"/>
  <c r="M1010" i="1" s="1"/>
  <c r="M1011" i="1" a="1"/>
  <c r="M1011" i="1" s="1"/>
  <c r="M1012" i="1" a="1"/>
  <c r="M1012" i="1" s="1"/>
  <c r="M1013" i="1" a="1"/>
  <c r="M1013" i="1" s="1"/>
  <c r="M1014" i="1" a="1"/>
  <c r="M1014" i="1" s="1"/>
  <c r="M1015" i="1" a="1"/>
  <c r="M1015" i="1" s="1"/>
  <c r="M1016" i="1" a="1"/>
  <c r="M1016" i="1" s="1"/>
  <c r="M1017" i="1" a="1"/>
  <c r="M1017" i="1" s="1"/>
  <c r="M1018" i="1" a="1"/>
  <c r="M1018" i="1" s="1"/>
  <c r="M1019" i="1" a="1"/>
  <c r="M1019" i="1" s="1"/>
  <c r="M1020" i="1" a="1"/>
  <c r="M1020" i="1" s="1"/>
  <c r="M1021" i="1" a="1"/>
  <c r="M1021" i="1" s="1"/>
  <c r="M1022" i="1" a="1"/>
  <c r="M1022" i="1" s="1"/>
  <c r="M1023" i="1" a="1"/>
  <c r="M1023" i="1" s="1"/>
  <c r="M1024" i="1" a="1"/>
  <c r="M1024" i="1" s="1"/>
  <c r="M1025" i="1" a="1"/>
  <c r="M1025" i="1" s="1"/>
  <c r="M1026" i="1" a="1"/>
  <c r="M1026" i="1" s="1"/>
  <c r="M1027" i="1" a="1"/>
  <c r="M1027" i="1" s="1"/>
  <c r="M1028" i="1" a="1"/>
  <c r="M1028" i="1" s="1"/>
  <c r="M1029" i="1" a="1"/>
  <c r="M1029" i="1" s="1"/>
  <c r="M1030" i="1" a="1"/>
  <c r="M1030" i="1" s="1"/>
  <c r="M1031" i="1" a="1"/>
  <c r="M1031" i="1" s="1"/>
  <c r="M1032" i="1" a="1"/>
  <c r="M1032" i="1" s="1"/>
  <c r="M1033" i="1" a="1"/>
  <c r="M1033" i="1" s="1"/>
  <c r="M1034" i="1" a="1"/>
  <c r="M1034" i="1" s="1"/>
  <c r="M1035" i="1" a="1"/>
  <c r="M1035" i="1" s="1"/>
  <c r="M1036" i="1" a="1"/>
  <c r="M1036" i="1" s="1"/>
  <c r="M1037" i="1" a="1"/>
  <c r="M1037" i="1" s="1"/>
  <c r="M1038" i="1" a="1"/>
  <c r="M1038" i="1" s="1"/>
  <c r="M1039" i="1" a="1"/>
  <c r="M1039" i="1" s="1"/>
  <c r="M1040" i="1" a="1"/>
  <c r="M1040" i="1" s="1"/>
  <c r="M1041" i="1" a="1"/>
  <c r="M1041" i="1" s="1"/>
  <c r="M1042" i="1" a="1"/>
  <c r="M1042" i="1" s="1"/>
  <c r="M1043" i="1" a="1"/>
  <c r="M1043" i="1" s="1"/>
  <c r="M1044" i="1" a="1"/>
  <c r="M1044" i="1" s="1"/>
  <c r="M1045" i="1" a="1"/>
  <c r="M1045" i="1" s="1"/>
  <c r="M1046" i="1" a="1"/>
  <c r="M1046" i="1" s="1"/>
  <c r="M1047" i="1" a="1"/>
  <c r="M1047" i="1" s="1"/>
  <c r="M1048" i="1" a="1"/>
  <c r="M1048" i="1" s="1"/>
  <c r="M1049" i="1" a="1"/>
  <c r="M1049" i="1" s="1"/>
  <c r="M1050" i="1" a="1"/>
  <c r="M1050" i="1" s="1"/>
  <c r="M1051" i="1" a="1"/>
  <c r="M1051" i="1" s="1"/>
  <c r="M1052" i="1" a="1"/>
  <c r="M1052" i="1" s="1"/>
  <c r="M1053" i="1" a="1"/>
  <c r="M1053" i="1" s="1"/>
  <c r="M1054" i="1" a="1"/>
  <c r="M1054" i="1" s="1"/>
  <c r="M1055" i="1" a="1"/>
  <c r="M1055" i="1" s="1"/>
  <c r="M1056" i="1" a="1"/>
  <c r="M1056" i="1" s="1"/>
  <c r="M1057" i="1" a="1"/>
  <c r="M1057" i="1" s="1"/>
  <c r="M1058" i="1" a="1"/>
  <c r="M1058" i="1" s="1"/>
  <c r="M1059" i="1" a="1"/>
  <c r="M1059" i="1" s="1"/>
  <c r="M1060" i="1" a="1"/>
  <c r="M1060" i="1" s="1"/>
  <c r="M1061" i="1" a="1"/>
  <c r="M1061" i="1" s="1"/>
  <c r="M1062" i="1" a="1"/>
  <c r="M1062" i="1" s="1"/>
  <c r="M1063" i="1" a="1"/>
  <c r="M1063" i="1" s="1"/>
  <c r="M1064" i="1" a="1"/>
  <c r="M1064" i="1" s="1"/>
  <c r="M1065" i="1" a="1"/>
  <c r="M1065" i="1" s="1"/>
  <c r="M1066" i="1" a="1"/>
  <c r="M1066" i="1" s="1"/>
  <c r="M1067" i="1" a="1"/>
  <c r="M1067" i="1" s="1"/>
  <c r="M1068" i="1" a="1"/>
  <c r="M1068" i="1" s="1"/>
  <c r="M1069" i="1" a="1"/>
  <c r="M1069" i="1" s="1"/>
  <c r="M1070" i="1" a="1"/>
  <c r="M1070" i="1" s="1"/>
  <c r="M1071" i="1" a="1"/>
  <c r="M1071" i="1" s="1"/>
  <c r="M1072" i="1" a="1"/>
  <c r="M1072" i="1" s="1"/>
  <c r="M1073" i="1" a="1"/>
  <c r="M1073" i="1" s="1"/>
  <c r="M1074" i="1" a="1"/>
  <c r="M1074" i="1" s="1"/>
  <c r="M1075" i="1" a="1"/>
  <c r="M1075" i="1" s="1"/>
  <c r="M1076" i="1" a="1"/>
  <c r="M1076" i="1" s="1"/>
  <c r="M1077" i="1" a="1"/>
  <c r="M1077" i="1" s="1"/>
  <c r="M1078" i="1" a="1"/>
  <c r="M1078" i="1" s="1"/>
  <c r="M1079" i="1" a="1"/>
  <c r="M1079" i="1" s="1"/>
  <c r="M1080" i="1" a="1"/>
  <c r="M1080" i="1" s="1"/>
  <c r="M1081" i="1" a="1"/>
  <c r="M1081" i="1" s="1"/>
  <c r="M1082" i="1" a="1"/>
  <c r="M1082" i="1" s="1"/>
  <c r="M1083" i="1" a="1"/>
  <c r="M1083" i="1" s="1"/>
  <c r="M1084" i="1" a="1"/>
  <c r="M1084" i="1" s="1"/>
  <c r="M1085" i="1" a="1"/>
  <c r="M1085" i="1" s="1"/>
  <c r="M1086" i="1" a="1"/>
  <c r="M1086" i="1" s="1"/>
  <c r="M1087" i="1" a="1"/>
  <c r="M1087" i="1" s="1"/>
  <c r="M1088" i="1" a="1"/>
  <c r="M1088" i="1" s="1"/>
  <c r="M1089" i="1" a="1"/>
  <c r="M1089" i="1" s="1"/>
  <c r="M1090" i="1" a="1"/>
  <c r="M1090" i="1" s="1"/>
  <c r="M1091" i="1" a="1"/>
  <c r="M1091" i="1" s="1"/>
  <c r="M1092" i="1" a="1"/>
  <c r="M1092" i="1" s="1"/>
  <c r="M1093" i="1" a="1"/>
  <c r="M1093" i="1" s="1"/>
  <c r="M1094" i="1" a="1"/>
  <c r="M1094" i="1" s="1"/>
  <c r="M1095" i="1" a="1"/>
  <c r="M1095" i="1" s="1"/>
  <c r="M1096" i="1" a="1"/>
  <c r="M1096" i="1" s="1"/>
  <c r="M1097" i="1" a="1"/>
  <c r="M1097" i="1" s="1"/>
  <c r="M1098" i="1" a="1"/>
  <c r="M1098" i="1" s="1"/>
  <c r="M1099" i="1" a="1"/>
  <c r="M1099" i="1" s="1"/>
  <c r="M1100" i="1" a="1"/>
  <c r="M1100" i="1" s="1"/>
  <c r="M1101" i="1" a="1"/>
  <c r="M1101" i="1" s="1"/>
  <c r="M1102" i="1" a="1"/>
  <c r="M1102" i="1" s="1"/>
  <c r="M1103" i="1" a="1"/>
  <c r="M1103" i="1" s="1"/>
  <c r="M1104" i="1" a="1"/>
  <c r="M1104" i="1" s="1"/>
  <c r="M1105" i="1" a="1"/>
  <c r="M1105" i="1" s="1"/>
  <c r="M1106" i="1" a="1"/>
  <c r="M1106" i="1" s="1"/>
  <c r="M1107" i="1" a="1"/>
  <c r="M1107" i="1" s="1"/>
  <c r="M1108" i="1" a="1"/>
  <c r="M1108" i="1" s="1"/>
  <c r="M1109" i="1" a="1"/>
  <c r="M1109" i="1" s="1"/>
  <c r="M1110" i="1" a="1"/>
  <c r="M1110" i="1" s="1"/>
  <c r="M1111" i="1" a="1"/>
  <c r="M1111" i="1" s="1"/>
  <c r="M1112" i="1" a="1"/>
  <c r="M1112" i="1" s="1"/>
  <c r="M1113" i="1" a="1"/>
  <c r="M1113" i="1" s="1"/>
  <c r="M1114" i="1" a="1"/>
  <c r="M1114" i="1" s="1"/>
  <c r="M1115" i="1" a="1"/>
  <c r="M1115" i="1" s="1"/>
  <c r="M1116" i="1" a="1"/>
  <c r="M1116" i="1" s="1"/>
  <c r="M1117" i="1" a="1"/>
  <c r="M1117" i="1" s="1"/>
  <c r="M1118" i="1" a="1"/>
  <c r="M1118" i="1" s="1"/>
  <c r="M1119" i="1" a="1"/>
  <c r="M1119" i="1" s="1"/>
  <c r="M1120" i="1" a="1"/>
  <c r="M1120" i="1" s="1"/>
  <c r="M1121" i="1" a="1"/>
  <c r="M1121" i="1" s="1"/>
  <c r="M1122" i="1" a="1"/>
  <c r="M1122" i="1" s="1"/>
  <c r="M1123" i="1" a="1"/>
  <c r="M1123" i="1" s="1"/>
  <c r="M1124" i="1" a="1"/>
  <c r="M1124" i="1" s="1"/>
  <c r="M1125" i="1" a="1"/>
  <c r="M1125" i="1" s="1"/>
  <c r="M1126" i="1" a="1"/>
  <c r="M1126" i="1" s="1"/>
  <c r="M1127" i="1" a="1"/>
  <c r="M1127" i="1" s="1"/>
  <c r="M1128" i="1" a="1"/>
  <c r="M1128" i="1" s="1"/>
  <c r="M1129" i="1" a="1"/>
  <c r="M1129" i="1" s="1"/>
  <c r="M1130" i="1" a="1"/>
  <c r="M1130" i="1" s="1"/>
  <c r="M1131" i="1" a="1"/>
  <c r="M1131" i="1" s="1"/>
  <c r="M1132" i="1" a="1"/>
  <c r="M1132" i="1" s="1"/>
  <c r="M1133" i="1" a="1"/>
  <c r="M1133" i="1" s="1"/>
  <c r="M1134" i="1" a="1"/>
  <c r="M1134" i="1" s="1"/>
  <c r="M1135" i="1" a="1"/>
  <c r="M1135" i="1" s="1"/>
  <c r="M1136" i="1" a="1"/>
  <c r="M1136" i="1" s="1"/>
  <c r="M1137" i="1" a="1"/>
  <c r="M1137" i="1" s="1"/>
  <c r="M1138" i="1" a="1"/>
  <c r="M1138" i="1" s="1"/>
  <c r="M1139" i="1" a="1"/>
  <c r="M1139" i="1" s="1"/>
  <c r="M1140" i="1" a="1"/>
  <c r="M1140" i="1" s="1"/>
  <c r="M1141" i="1" a="1"/>
  <c r="M1141" i="1" s="1"/>
  <c r="M1142" i="1" a="1"/>
  <c r="M1142" i="1" s="1"/>
  <c r="M1143" i="1" a="1"/>
  <c r="M1143" i="1" s="1"/>
  <c r="M1144" i="1" a="1"/>
  <c r="M1144" i="1" s="1"/>
  <c r="M1145" i="1" a="1"/>
  <c r="M1145" i="1" s="1"/>
  <c r="M1146" i="1" a="1"/>
  <c r="M1146" i="1" s="1"/>
  <c r="M1147" i="1" a="1"/>
  <c r="M1147" i="1" s="1"/>
  <c r="M1148" i="1" a="1"/>
  <c r="M1148" i="1" s="1"/>
  <c r="M1149" i="1" a="1"/>
  <c r="M1149" i="1" s="1"/>
  <c r="M1150" i="1" a="1"/>
  <c r="M1150" i="1" s="1"/>
  <c r="M1151" i="1" a="1"/>
  <c r="M1151" i="1" s="1"/>
  <c r="M1152" i="1" a="1"/>
  <c r="M1152" i="1" s="1"/>
  <c r="M1153" i="1" a="1"/>
  <c r="M1153" i="1" s="1"/>
  <c r="M1154" i="1" a="1"/>
  <c r="M1154" i="1" s="1"/>
  <c r="M1155" i="1" a="1"/>
  <c r="M1155" i="1" s="1"/>
  <c r="M1156" i="1" a="1"/>
  <c r="M1156" i="1" s="1"/>
  <c r="M1157" i="1" a="1"/>
  <c r="M1157" i="1" s="1"/>
  <c r="M1158" i="1" a="1"/>
  <c r="M1158" i="1" s="1"/>
  <c r="M1159" i="1" a="1"/>
  <c r="M1159" i="1" s="1"/>
  <c r="M1160" i="1" a="1"/>
  <c r="M1160" i="1" s="1"/>
  <c r="M1161" i="1" a="1"/>
  <c r="M1161" i="1" s="1"/>
  <c r="M1162" i="1" a="1"/>
  <c r="M1162" i="1" s="1"/>
  <c r="M1163" i="1" a="1"/>
  <c r="M1163" i="1" s="1"/>
  <c r="M1164" i="1" a="1"/>
  <c r="M1164" i="1" s="1"/>
  <c r="M1165" i="1" a="1"/>
  <c r="M1165" i="1" s="1"/>
  <c r="M1166" i="1" a="1"/>
  <c r="M1166" i="1" s="1"/>
  <c r="M1167" i="1" a="1"/>
  <c r="M1167" i="1" s="1"/>
  <c r="M1168" i="1" a="1"/>
  <c r="M1168" i="1" s="1"/>
  <c r="M1169" i="1" a="1"/>
  <c r="M1169" i="1" s="1"/>
  <c r="M1170" i="1" a="1"/>
  <c r="M1170" i="1" s="1"/>
  <c r="M1171" i="1" a="1"/>
  <c r="M1171" i="1" s="1"/>
  <c r="M1172" i="1" a="1"/>
  <c r="M1172" i="1" s="1"/>
  <c r="M1173" i="1" a="1"/>
  <c r="M1173" i="1" s="1"/>
  <c r="M1174" i="1" a="1"/>
  <c r="M1174" i="1" s="1"/>
  <c r="M1175" i="1" a="1"/>
  <c r="M1175" i="1" s="1"/>
  <c r="M1176" i="1" a="1"/>
  <c r="M1176" i="1" s="1"/>
  <c r="M1177" i="1" a="1"/>
  <c r="M1177" i="1" s="1"/>
  <c r="M1178" i="1" a="1"/>
  <c r="M1178" i="1" s="1"/>
  <c r="M1179" i="1" a="1"/>
  <c r="M1179" i="1" s="1"/>
  <c r="M1180" i="1" a="1"/>
  <c r="M1180" i="1" s="1"/>
  <c r="M1181" i="1" a="1"/>
  <c r="M1181" i="1" s="1"/>
  <c r="M1182" i="1" a="1"/>
  <c r="M1182" i="1" s="1"/>
  <c r="M1183" i="1" a="1"/>
  <c r="M1183" i="1" s="1"/>
  <c r="M1184" i="1" a="1"/>
  <c r="M1184" i="1" s="1"/>
  <c r="M1185" i="1" a="1"/>
  <c r="M1185" i="1" s="1"/>
  <c r="M1186" i="1" a="1"/>
  <c r="M1186" i="1" s="1"/>
  <c r="M1187" i="1" a="1"/>
  <c r="M1187" i="1" s="1"/>
  <c r="M1188" i="1" a="1"/>
  <c r="M1188" i="1" s="1"/>
  <c r="M1189" i="1" a="1"/>
  <c r="M1189" i="1" s="1"/>
  <c r="M1190" i="1" a="1"/>
  <c r="M1190" i="1" s="1"/>
  <c r="M1191" i="1" a="1"/>
  <c r="M1191" i="1" s="1"/>
  <c r="M1192" i="1" a="1"/>
  <c r="M1192" i="1" s="1"/>
  <c r="M1193" i="1" a="1"/>
  <c r="M1193" i="1" s="1"/>
  <c r="M1194" i="1" a="1"/>
  <c r="M1194" i="1" s="1"/>
  <c r="M1195" i="1" a="1"/>
  <c r="M1195" i="1" s="1"/>
  <c r="M1196" i="1" a="1"/>
  <c r="M1196" i="1" s="1"/>
  <c r="M1197" i="1" a="1"/>
  <c r="M1197" i="1" s="1"/>
  <c r="M1198" i="1" a="1"/>
  <c r="M1198" i="1" s="1"/>
  <c r="M1199" i="1" a="1"/>
  <c r="M1199" i="1" s="1"/>
  <c r="M1200" i="1" a="1"/>
  <c r="M1200" i="1" s="1"/>
  <c r="M1201" i="1" a="1"/>
  <c r="M1201" i="1" s="1"/>
  <c r="M1202" i="1" a="1"/>
  <c r="M1202" i="1" s="1"/>
  <c r="M1203" i="1" a="1"/>
  <c r="M1203" i="1" s="1"/>
  <c r="M1204" i="1" a="1"/>
  <c r="M1204" i="1" s="1"/>
  <c r="M1205" i="1" a="1"/>
  <c r="M1205" i="1" s="1"/>
  <c r="M1206" i="1" a="1"/>
  <c r="M1206" i="1" s="1"/>
  <c r="M1207" i="1" a="1"/>
  <c r="M1207" i="1" s="1"/>
  <c r="M1208" i="1" a="1"/>
  <c r="M1208" i="1" s="1"/>
  <c r="M1209" i="1" a="1"/>
  <c r="M1209" i="1" s="1"/>
  <c r="M1210" i="1" a="1"/>
  <c r="M1210" i="1" s="1"/>
  <c r="M1211" i="1" a="1"/>
  <c r="M1211" i="1" s="1"/>
  <c r="M1212" i="1" a="1"/>
  <c r="M1212" i="1" s="1"/>
  <c r="M1213" i="1" a="1"/>
  <c r="M1213" i="1" s="1"/>
  <c r="M1214" i="1" a="1"/>
  <c r="M1214" i="1" s="1"/>
  <c r="M1215" i="1" a="1"/>
  <c r="M1215" i="1" s="1"/>
  <c r="M1216" i="1" a="1"/>
  <c r="M1216" i="1" s="1"/>
  <c r="M1217" i="1" a="1"/>
  <c r="M1217" i="1" s="1"/>
  <c r="M1218" i="1" a="1"/>
  <c r="M1218" i="1" s="1"/>
  <c r="M1219" i="1" a="1"/>
  <c r="M1219" i="1" s="1"/>
  <c r="M1220" i="1" a="1"/>
  <c r="M1220" i="1" s="1"/>
  <c r="M1221" i="1" a="1"/>
  <c r="M1221" i="1" s="1"/>
  <c r="M1222" i="1" a="1"/>
  <c r="M1222" i="1" s="1"/>
  <c r="M1223" i="1" a="1"/>
  <c r="M1223" i="1" s="1"/>
  <c r="M1224" i="1" a="1"/>
  <c r="M1224" i="1" s="1"/>
  <c r="M1225" i="1" a="1"/>
  <c r="M1225" i="1" s="1"/>
  <c r="M1226" i="1" a="1"/>
  <c r="M1226" i="1" s="1"/>
  <c r="M1227" i="1" a="1"/>
  <c r="M1227" i="1" s="1"/>
  <c r="M1228" i="1" a="1"/>
  <c r="M1228" i="1" s="1"/>
  <c r="M1229" i="1" a="1"/>
  <c r="M1229" i="1" s="1"/>
  <c r="M1230" i="1" a="1"/>
  <c r="M1230" i="1" s="1"/>
  <c r="M1231" i="1" a="1"/>
  <c r="M1231" i="1" s="1"/>
  <c r="M1232" i="1" a="1"/>
  <c r="M1232" i="1" s="1"/>
  <c r="M1233" i="1" a="1"/>
  <c r="M1233" i="1" s="1"/>
  <c r="M1234" i="1" a="1"/>
  <c r="M1234" i="1" s="1"/>
  <c r="M1235" i="1" a="1"/>
  <c r="M1235" i="1" s="1"/>
  <c r="M1236" i="1" a="1"/>
  <c r="M1236" i="1" s="1"/>
  <c r="M1237" i="1" a="1"/>
  <c r="M1237" i="1" s="1"/>
  <c r="M1238" i="1" a="1"/>
  <c r="M1238" i="1" s="1"/>
  <c r="M1239" i="1" a="1"/>
  <c r="M1239" i="1" s="1"/>
  <c r="M1240" i="1" a="1"/>
  <c r="M1240" i="1" s="1"/>
  <c r="M1241" i="1" a="1"/>
  <c r="M1241" i="1" s="1"/>
  <c r="M1242" i="1" a="1"/>
  <c r="M1242" i="1" s="1"/>
  <c r="M1243" i="1" a="1"/>
  <c r="M1243" i="1" s="1"/>
  <c r="M1244" i="1" a="1"/>
  <c r="M1244" i="1" s="1"/>
  <c r="M1245" i="1" a="1"/>
  <c r="M1245" i="1" s="1"/>
  <c r="M1246" i="1" a="1"/>
  <c r="M1246" i="1" s="1"/>
  <c r="M1247" i="1" a="1"/>
  <c r="M1247" i="1" s="1"/>
  <c r="M1248" i="1" a="1"/>
  <c r="M1248" i="1" s="1"/>
  <c r="M1249" i="1" a="1"/>
  <c r="M1249" i="1" s="1"/>
  <c r="M1250" i="1" a="1"/>
  <c r="M1250" i="1" s="1"/>
  <c r="M1251" i="1" a="1"/>
  <c r="M1251" i="1" s="1"/>
  <c r="M1252" i="1" a="1"/>
  <c r="M1252" i="1" s="1"/>
  <c r="M1253" i="1" a="1"/>
  <c r="M1253" i="1" s="1"/>
  <c r="M1254" i="1" a="1"/>
  <c r="M1254" i="1" s="1"/>
  <c r="M1255" i="1" a="1"/>
  <c r="M1255" i="1" s="1"/>
  <c r="M1256" i="1" a="1"/>
  <c r="M1256" i="1" s="1"/>
  <c r="M1257" i="1" a="1"/>
  <c r="M1257" i="1" s="1"/>
  <c r="M1258" i="1" a="1"/>
  <c r="M1258" i="1" s="1"/>
  <c r="M1259" i="1" a="1"/>
  <c r="M1259" i="1" s="1"/>
  <c r="M1260" i="1" a="1"/>
  <c r="M1260" i="1" s="1"/>
  <c r="M1261" i="1" a="1"/>
  <c r="M1261" i="1" s="1"/>
  <c r="M1262" i="1" a="1"/>
  <c r="M1262" i="1" s="1"/>
  <c r="M1263" i="1" a="1"/>
  <c r="M1263" i="1" s="1"/>
  <c r="M1264" i="1" a="1"/>
  <c r="M1264" i="1" s="1"/>
  <c r="M1265" i="1" a="1"/>
  <c r="M1265" i="1" s="1"/>
  <c r="M1266" i="1" a="1"/>
  <c r="M1266" i="1" s="1"/>
  <c r="M1267" i="1" a="1"/>
  <c r="M1267" i="1" s="1"/>
  <c r="M1268" i="1" a="1"/>
  <c r="M1268" i="1" s="1"/>
  <c r="M1269" i="1" a="1"/>
  <c r="M1269" i="1" s="1"/>
  <c r="M1270" i="1" a="1"/>
  <c r="M1270" i="1" s="1"/>
  <c r="M1271" i="1" a="1"/>
  <c r="M1271" i="1" s="1"/>
  <c r="M1272" i="1" a="1"/>
  <c r="M1272" i="1" s="1"/>
  <c r="M1273" i="1" a="1"/>
  <c r="M1273" i="1" s="1"/>
  <c r="M1274" i="1" a="1"/>
  <c r="M1274" i="1" s="1"/>
  <c r="M1275" i="1" a="1"/>
  <c r="M1275" i="1" s="1"/>
  <c r="M1276" i="1" a="1"/>
  <c r="M1276" i="1" s="1"/>
  <c r="M1277" i="1" a="1"/>
  <c r="M1277" i="1" s="1"/>
  <c r="M1278" i="1" a="1"/>
  <c r="M1278" i="1" s="1"/>
  <c r="M1279" i="1" a="1"/>
  <c r="M1279" i="1" s="1"/>
  <c r="M1280" i="1" a="1"/>
  <c r="M1280" i="1" s="1"/>
  <c r="M1281" i="1" a="1"/>
  <c r="M1281" i="1" s="1"/>
  <c r="M1282" i="1" a="1"/>
  <c r="M1282" i="1" s="1"/>
  <c r="M1283" i="1" a="1"/>
  <c r="M1283" i="1" s="1"/>
  <c r="M1284" i="1" a="1"/>
  <c r="M1284" i="1" s="1"/>
  <c r="M1285" i="1" a="1"/>
  <c r="M1285" i="1" s="1"/>
  <c r="M1286" i="1" a="1"/>
  <c r="M1286" i="1" s="1"/>
  <c r="M1287" i="1" a="1"/>
  <c r="M1287" i="1" s="1"/>
  <c r="M1288" i="1" a="1"/>
  <c r="M1288" i="1" s="1"/>
  <c r="M1289" i="1" a="1"/>
  <c r="M1289" i="1" s="1"/>
  <c r="M1290" i="1" a="1"/>
  <c r="M1290" i="1" s="1"/>
  <c r="M1291" i="1" a="1"/>
  <c r="M1291" i="1" s="1"/>
  <c r="M1292" i="1" a="1"/>
  <c r="M1292" i="1" s="1"/>
  <c r="M1293" i="1" a="1"/>
  <c r="M1293" i="1" s="1"/>
  <c r="M1294" i="1" a="1"/>
  <c r="M1294" i="1" s="1"/>
  <c r="M1295" i="1" a="1"/>
  <c r="M1295" i="1" s="1"/>
  <c r="M1296" i="1" a="1"/>
  <c r="M1296" i="1" s="1"/>
  <c r="M1297" i="1" a="1"/>
  <c r="M1297" i="1" s="1"/>
  <c r="M1298" i="1" a="1"/>
  <c r="M1298" i="1" s="1"/>
  <c r="M1299" i="1" a="1"/>
  <c r="M1299" i="1" s="1"/>
  <c r="M1300" i="1" a="1"/>
  <c r="M1300" i="1" s="1"/>
  <c r="M1301" i="1" a="1"/>
  <c r="M1301" i="1" s="1"/>
  <c r="M1302" i="1" a="1"/>
  <c r="M1302" i="1" s="1"/>
  <c r="M1303" i="1" a="1"/>
  <c r="M1303" i="1" s="1"/>
  <c r="M1304" i="1" a="1"/>
  <c r="M1304" i="1" s="1"/>
  <c r="M1305" i="1" a="1"/>
  <c r="M1305" i="1" s="1"/>
  <c r="M1306" i="1" a="1"/>
  <c r="M1306" i="1" s="1"/>
  <c r="M1307" i="1" a="1"/>
  <c r="M1307" i="1" s="1"/>
  <c r="M1308" i="1" a="1"/>
  <c r="M1308" i="1" s="1"/>
  <c r="M1309" i="1" a="1"/>
  <c r="M1309" i="1" s="1"/>
  <c r="M1310" i="1" a="1"/>
  <c r="M1310" i="1" s="1"/>
  <c r="M1311" i="1" a="1"/>
  <c r="M1311" i="1" s="1"/>
  <c r="M1312" i="1" a="1"/>
  <c r="M1312" i="1" s="1"/>
  <c r="M1313" i="1" a="1"/>
  <c r="M1313" i="1" s="1"/>
  <c r="M1314" i="1" a="1"/>
  <c r="M1314" i="1" s="1"/>
  <c r="M1315" i="1" a="1"/>
  <c r="M1315" i="1" s="1"/>
  <c r="M1316" i="1" a="1"/>
  <c r="M1316" i="1" s="1"/>
  <c r="M1317" i="1" a="1"/>
  <c r="M1317" i="1" s="1"/>
  <c r="M1318" i="1" a="1"/>
  <c r="M1318" i="1" s="1"/>
  <c r="M1319" i="1" a="1"/>
  <c r="M1319" i="1" s="1"/>
  <c r="M1320" i="1" a="1"/>
  <c r="M1320" i="1" s="1"/>
  <c r="M1321" i="1" a="1"/>
  <c r="M1321" i="1" s="1"/>
  <c r="M1322" i="1" a="1"/>
  <c r="M1322" i="1" s="1"/>
  <c r="M1323" i="1" a="1"/>
  <c r="M1323" i="1" s="1"/>
  <c r="M1324" i="1" a="1"/>
  <c r="M1324" i="1" s="1"/>
  <c r="M1325" i="1" a="1"/>
  <c r="M1325" i="1" s="1"/>
  <c r="M1326" i="1" a="1"/>
  <c r="M1326" i="1" s="1"/>
  <c r="M1327" i="1" a="1"/>
  <c r="M1327" i="1" s="1"/>
  <c r="M1328" i="1" a="1"/>
  <c r="M1328" i="1" s="1"/>
  <c r="M1329" i="1" a="1"/>
  <c r="M1329" i="1" s="1"/>
  <c r="M1330" i="1" a="1"/>
  <c r="M1330" i="1" s="1"/>
  <c r="M1331" i="1" a="1"/>
  <c r="M1331" i="1" s="1"/>
  <c r="M1332" i="1" a="1"/>
  <c r="M1332" i="1" s="1"/>
  <c r="M1333" i="1" a="1"/>
  <c r="M1333" i="1" s="1"/>
  <c r="M1334" i="1" a="1"/>
  <c r="M1334" i="1" s="1"/>
  <c r="M1335" i="1" a="1"/>
  <c r="M1335" i="1" s="1"/>
  <c r="M1336" i="1" a="1"/>
  <c r="M1336" i="1" s="1"/>
  <c r="M1337" i="1" a="1"/>
  <c r="M1337" i="1" s="1"/>
  <c r="M1338" i="1" a="1"/>
  <c r="M1338" i="1" s="1"/>
  <c r="M1339" i="1" a="1"/>
  <c r="M1339" i="1" s="1"/>
  <c r="M1340" i="1" a="1"/>
  <c r="M1340" i="1" s="1"/>
  <c r="M1341" i="1" a="1"/>
  <c r="M1341" i="1" s="1"/>
  <c r="M1342" i="1" a="1"/>
  <c r="M1342" i="1" s="1"/>
  <c r="M1343" i="1" a="1"/>
  <c r="M1343" i="1" s="1"/>
  <c r="M1344" i="1" a="1"/>
  <c r="M1344" i="1" s="1"/>
  <c r="M1345" i="1" a="1"/>
  <c r="M1345" i="1" s="1"/>
  <c r="M1346" i="1" a="1"/>
  <c r="M1346" i="1" s="1"/>
  <c r="M1347" i="1" a="1"/>
  <c r="M1347" i="1" s="1"/>
  <c r="M1348" i="1" a="1"/>
  <c r="M1348" i="1" s="1"/>
  <c r="M1349" i="1" a="1"/>
  <c r="M1349" i="1" s="1"/>
  <c r="M1350" i="1" a="1"/>
  <c r="M1350" i="1" s="1"/>
  <c r="M1351" i="1" a="1"/>
  <c r="M1351" i="1" s="1"/>
  <c r="M1352" i="1" a="1"/>
  <c r="M1352" i="1" s="1"/>
  <c r="M1353" i="1" a="1"/>
  <c r="M1353" i="1" s="1"/>
  <c r="M1354" i="1" a="1"/>
  <c r="M1354" i="1" s="1"/>
  <c r="M1355" i="1" a="1"/>
  <c r="M1355" i="1" s="1"/>
  <c r="M1356" i="1" a="1"/>
  <c r="M1356" i="1"/>
  <c r="M1357" i="1" a="1"/>
  <c r="M1357" i="1" s="1"/>
  <c r="M1358" i="1" a="1"/>
  <c r="M1358" i="1" s="1"/>
  <c r="M1359" i="1" a="1"/>
  <c r="M1359" i="1" s="1"/>
  <c r="M1360" i="1" a="1"/>
  <c r="M1360" i="1" s="1"/>
  <c r="M1361" i="1" a="1"/>
  <c r="M1361" i="1" s="1"/>
  <c r="M1362" i="1" a="1"/>
  <c r="M1362" i="1" s="1"/>
  <c r="M1363" i="1" a="1"/>
  <c r="M1363" i="1" s="1"/>
  <c r="M1364" i="1" a="1"/>
  <c r="M1364" i="1" s="1"/>
  <c r="M1365" i="1" a="1"/>
  <c r="M1365" i="1" s="1"/>
  <c r="M1366" i="1" a="1"/>
  <c r="M1366" i="1" s="1"/>
  <c r="M1367" i="1" a="1"/>
  <c r="M1367" i="1" s="1"/>
  <c r="M1368" i="1" a="1"/>
  <c r="M1368" i="1" s="1"/>
  <c r="M1369" i="1" a="1"/>
  <c r="M1369" i="1" s="1"/>
  <c r="M1370" i="1" a="1"/>
  <c r="M1370" i="1" s="1"/>
  <c r="M1371" i="1" a="1"/>
  <c r="M1371" i="1" s="1"/>
  <c r="M1372" i="1" a="1"/>
  <c r="M1372" i="1" s="1"/>
  <c r="M1373" i="1" a="1"/>
  <c r="M1373" i="1" s="1"/>
  <c r="M1374" i="1" a="1"/>
  <c r="M1374" i="1" s="1"/>
  <c r="M1375" i="1" a="1"/>
  <c r="M1375" i="1" s="1"/>
  <c r="M1376" i="1" a="1"/>
  <c r="M1376" i="1" s="1"/>
  <c r="M1377" i="1" a="1"/>
  <c r="M1377" i="1" s="1"/>
  <c r="M1378" i="1" a="1"/>
  <c r="M1378" i="1" s="1"/>
  <c r="M1379" i="1" a="1"/>
  <c r="M1379" i="1" s="1"/>
  <c r="M1380" i="1" a="1"/>
  <c r="M1380" i="1" s="1"/>
  <c r="M1381" i="1" a="1"/>
  <c r="M1381" i="1" s="1"/>
  <c r="M1382" i="1" a="1"/>
  <c r="M1382" i="1" s="1"/>
  <c r="M1383" i="1" a="1"/>
  <c r="M1383" i="1" s="1"/>
  <c r="M1384" i="1" a="1"/>
  <c r="M1384" i="1" s="1"/>
  <c r="M1385" i="1" a="1"/>
  <c r="M1385" i="1" s="1"/>
  <c r="M1386" i="1" a="1"/>
  <c r="M1386" i="1" s="1"/>
  <c r="M1387" i="1" a="1"/>
  <c r="M1387" i="1" s="1"/>
  <c r="M1388" i="1" a="1"/>
  <c r="M1388" i="1" s="1"/>
  <c r="M1389" i="1" a="1"/>
  <c r="M1389" i="1" s="1"/>
  <c r="M1390" i="1" a="1"/>
  <c r="M1390" i="1" s="1"/>
  <c r="M1391" i="1" a="1"/>
  <c r="M1391" i="1" s="1"/>
  <c r="M1392" i="1" a="1"/>
  <c r="M1392" i="1" s="1"/>
  <c r="M1393" i="1" a="1"/>
  <c r="M1393" i="1" s="1"/>
  <c r="M1394" i="1" a="1"/>
  <c r="M1394" i="1" s="1"/>
  <c r="M1395" i="1" a="1"/>
  <c r="M1395" i="1" s="1"/>
  <c r="M1396" i="1" a="1"/>
  <c r="M1396" i="1" s="1"/>
  <c r="M1397" i="1" a="1"/>
  <c r="M1397" i="1" s="1"/>
  <c r="M1398" i="1" a="1"/>
  <c r="M1398" i="1" s="1"/>
  <c r="M1399" i="1" a="1"/>
  <c r="M1399" i="1" s="1"/>
  <c r="M1400" i="1" a="1"/>
  <c r="M1400" i="1" s="1"/>
  <c r="M1401" i="1" a="1"/>
  <c r="M1401" i="1" s="1"/>
  <c r="M1402" i="1" a="1"/>
  <c r="M1402" i="1" s="1"/>
  <c r="M1403" i="1" a="1"/>
  <c r="M1403" i="1" s="1"/>
  <c r="M1404" i="1" a="1"/>
  <c r="M1404" i="1" s="1"/>
  <c r="M1405" i="1" a="1"/>
  <c r="M1405" i="1" s="1"/>
  <c r="M1406" i="1" a="1"/>
  <c r="M1406" i="1" s="1"/>
  <c r="M1407" i="1" a="1"/>
  <c r="M1407" i="1" s="1"/>
  <c r="M1408" i="1" a="1"/>
  <c r="M1408" i="1" s="1"/>
  <c r="M1409" i="1" a="1"/>
  <c r="M1409" i="1" s="1"/>
  <c r="M1410" i="1" a="1"/>
  <c r="M1410" i="1" s="1"/>
  <c r="M1411" i="1" a="1"/>
  <c r="M1411" i="1" s="1"/>
  <c r="M1412" i="1" a="1"/>
  <c r="M1412" i="1" s="1"/>
  <c r="M1413" i="1" a="1"/>
  <c r="M1413" i="1" s="1"/>
  <c r="M1414" i="1" a="1"/>
  <c r="M1414" i="1" s="1"/>
  <c r="M1415" i="1" a="1"/>
  <c r="M1415" i="1" s="1"/>
  <c r="M1416" i="1" a="1"/>
  <c r="M1416" i="1" s="1"/>
  <c r="M1417" i="1" a="1"/>
  <c r="M1417" i="1" s="1"/>
  <c r="M1418" i="1" a="1"/>
  <c r="M1418" i="1" s="1"/>
  <c r="M1419" i="1" a="1"/>
  <c r="M1419" i="1" s="1"/>
  <c r="M1420" i="1" a="1"/>
  <c r="M1420" i="1" s="1"/>
  <c r="M1421" i="1" a="1"/>
  <c r="M1421" i="1" s="1"/>
  <c r="M1422" i="1" a="1"/>
  <c r="M1422" i="1" s="1"/>
  <c r="M1423" i="1" a="1"/>
  <c r="M1423" i="1" s="1"/>
  <c r="M1424" i="1" a="1"/>
  <c r="M1424" i="1" s="1"/>
  <c r="M1425" i="1" a="1"/>
  <c r="M1425" i="1" s="1"/>
  <c r="M1426" i="1" a="1"/>
  <c r="M1426" i="1" s="1"/>
  <c r="M1427" i="1" a="1"/>
  <c r="M1427" i="1" s="1"/>
  <c r="M1428" i="1" a="1"/>
  <c r="M1428" i="1" s="1"/>
  <c r="M1429" i="1" a="1"/>
  <c r="M1429" i="1" s="1"/>
  <c r="M1430" i="1" a="1"/>
  <c r="M1430" i="1" s="1"/>
  <c r="M1431" i="1" a="1"/>
  <c r="M1431" i="1" s="1"/>
  <c r="M1432" i="1" a="1"/>
  <c r="M1432" i="1" s="1"/>
  <c r="M1433" i="1" a="1"/>
  <c r="M1433" i="1" s="1"/>
  <c r="M1434" i="1" a="1"/>
  <c r="M1434" i="1" s="1"/>
  <c r="M1435" i="1" a="1"/>
  <c r="M1435" i="1" s="1"/>
  <c r="M1436" i="1" a="1"/>
  <c r="M1436" i="1" s="1"/>
  <c r="M1437" i="1" a="1"/>
  <c r="M1437" i="1" s="1"/>
  <c r="M1438" i="1" a="1"/>
  <c r="M1438" i="1" s="1"/>
  <c r="M1439" i="1" a="1"/>
  <c r="M1439" i="1" s="1"/>
  <c r="M1440" i="1" a="1"/>
  <c r="M1440" i="1" s="1"/>
  <c r="M1441" i="1" a="1"/>
  <c r="M1441" i="1" s="1"/>
  <c r="M1442" i="1" a="1"/>
  <c r="M1442" i="1" s="1"/>
  <c r="M1443" i="1" a="1"/>
  <c r="M1443" i="1" s="1"/>
  <c r="M1444" i="1" a="1"/>
  <c r="M1444" i="1" s="1"/>
  <c r="M1445" i="1" a="1"/>
  <c r="M1445" i="1" s="1"/>
  <c r="M1446" i="1" a="1"/>
  <c r="M1446" i="1" s="1"/>
  <c r="M1447" i="1" a="1"/>
  <c r="M1447" i="1" s="1"/>
  <c r="M1448" i="1" a="1"/>
  <c r="M1448" i="1" s="1"/>
  <c r="M1449" i="1" a="1"/>
  <c r="M1449" i="1" s="1"/>
  <c r="M1450" i="1" a="1"/>
  <c r="M1450" i="1" s="1"/>
  <c r="M1451" i="1" a="1"/>
  <c r="M1451" i="1" s="1"/>
  <c r="M1452" i="1" a="1"/>
  <c r="M1452" i="1" s="1"/>
  <c r="M1453" i="1" a="1"/>
  <c r="M1453" i="1" s="1"/>
  <c r="M1454" i="1" a="1"/>
  <c r="M1454" i="1" s="1"/>
  <c r="M1455" i="1" a="1"/>
  <c r="M1455" i="1" s="1"/>
  <c r="M1456" i="1" a="1"/>
  <c r="M1456" i="1" s="1"/>
  <c r="M1457" i="1" a="1"/>
  <c r="M1457" i="1" s="1"/>
  <c r="M1458" i="1" a="1"/>
  <c r="M1458" i="1" s="1"/>
  <c r="M1459" i="1" a="1"/>
  <c r="M1459" i="1" s="1"/>
  <c r="M1460" i="1" a="1"/>
  <c r="M1460" i="1" s="1"/>
  <c r="M1461" i="1" a="1"/>
  <c r="M1461" i="1" s="1"/>
  <c r="M1462" i="1" a="1"/>
  <c r="M1462" i="1" s="1"/>
  <c r="M1463" i="1" a="1"/>
  <c r="M1463" i="1" s="1"/>
  <c r="M1464" i="1" a="1"/>
  <c r="M1464" i="1" s="1"/>
  <c r="M1465" i="1" a="1"/>
  <c r="M1465" i="1" s="1"/>
  <c r="M1466" i="1" a="1"/>
  <c r="M1466" i="1" s="1"/>
  <c r="M1467" i="1" a="1"/>
  <c r="M1467" i="1" s="1"/>
  <c r="M1468" i="1" a="1"/>
  <c r="M1468" i="1" s="1"/>
  <c r="M1469" i="1" a="1"/>
  <c r="M1469" i="1" s="1"/>
  <c r="M1470" i="1" a="1"/>
  <c r="M1470" i="1" s="1"/>
  <c r="M1471" i="1" a="1"/>
  <c r="M1471" i="1" s="1"/>
  <c r="M1472" i="1" a="1"/>
  <c r="M1472" i="1" s="1"/>
  <c r="M1473" i="1" a="1"/>
  <c r="M1473" i="1" s="1"/>
  <c r="M1474" i="1" a="1"/>
  <c r="M1474" i="1" s="1"/>
  <c r="M1475" i="1" a="1"/>
  <c r="M1475" i="1" s="1"/>
  <c r="M1476" i="1" a="1"/>
  <c r="M1476" i="1" s="1"/>
  <c r="M1477" i="1" a="1"/>
  <c r="M1477" i="1" s="1"/>
  <c r="M1478" i="1" a="1"/>
  <c r="M1478" i="1" s="1"/>
  <c r="M1479" i="1" a="1"/>
  <c r="M1479" i="1" s="1"/>
  <c r="M1480" i="1" a="1"/>
  <c r="M1480" i="1" s="1"/>
  <c r="M1481" i="1" a="1"/>
  <c r="M1481" i="1" s="1"/>
  <c r="M1482" i="1" a="1"/>
  <c r="M1482" i="1" s="1"/>
  <c r="M1483" i="1" a="1"/>
  <c r="M1483" i="1" s="1"/>
  <c r="M1484" i="1" a="1"/>
  <c r="M1484" i="1" s="1"/>
  <c r="M1485" i="1" a="1"/>
  <c r="M1485" i="1" s="1"/>
  <c r="M1486" i="1" a="1"/>
  <c r="M1486" i="1" s="1"/>
  <c r="M2" i="1" a="1"/>
  <c r="M2" i="1" s="1"/>
  <c r="B40" i="2"/>
  <c r="C29" i="2"/>
  <c r="C13" i="2"/>
  <c r="C14" i="2"/>
  <c r="C15" i="2"/>
  <c r="C16" i="2"/>
  <c r="C17" i="2"/>
  <c r="C18" i="2"/>
  <c r="C19" i="2"/>
  <c r="C20" i="2"/>
  <c r="C21" i="2"/>
  <c r="C22" i="2"/>
  <c r="C23" i="2"/>
  <c r="C24" i="2"/>
  <c r="C12" i="2"/>
  <c r="C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<sst xmlns="http://schemas.openxmlformats.org/spreadsheetml/2006/main" count="11969" uniqueCount="182">
  <si>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</si>
  <si>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</si>
  <si>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</si>
  <si>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</si>
  <si>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</si>
  <si>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</si>
  <si>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</si>
  <si>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</si>
  <si>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</si>
  <si>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</si>
  <si>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</si>
  <si>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</si>
  <si>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</si>
  <si>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</si>
  <si>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</si>
  <si>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</si>
  <si>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</si>
  <si>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</si>
  <si>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</si>
  <si>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</si>
  <si>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</si>
  <si>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</si>
  <si>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</si>
  <si>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</si>
  <si>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</si>
  <si>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</si>
  <si>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</si>
  <si>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</si>
  <si>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</si>
  <si>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</si>
  <si>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</si>
  <si>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</si>
  <si>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</si>
  <si>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</si>
  <si>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</si>
  <si>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</si>
  <si>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</si>
  <si>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</si>
  <si>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</si>
  <si>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</si>
  <si>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</si>
  <si>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</si>
  <si>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</si>
  <si>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</si>
  <si>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</si>
  <si>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</si>
  <si>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</si>
  <si>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</si>
  <si>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</si>
  <si>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</si>
  <si>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</si>
  <si>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</si>
  <si>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</si>
  <si>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</si>
  <si>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</si>
  <si>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</si>
  <si>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</si>
  <si>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</si>
  <si>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</si>
  <si>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</si>
  <si>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</si>
  <si>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</si>
  <si>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</si>
  <si>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</si>
  <si>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</si>
  <si>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</si>
  <si>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</si>
  <si>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</si>
  <si>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</si>
  <si>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</si>
  <si>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</si>
  <si>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</si>
  <si>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</si>
  <si>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</si>
  <si>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</si>
  <si>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</si>
  <si>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</si>
  <si>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</si>
  <si>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</si>
  <si>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</si>
  <si>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</si>
  <si>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</si>
  <si>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</si>
  <si>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</si>
  <si>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</si>
  <si>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</si>
  <si>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</si>
  <si>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</si>
  <si>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</si>
  <si>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</si>
  <si>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</si>
  <si>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</si>
  <si>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</si>
  <si>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</si>
  <si>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</si>
  <si>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</si>
  <si>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</si>
  <si>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</si>
  <si>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</si>
  <si>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</si>
  <si>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</si>
  <si>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</si>
  <si>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</si>
  <si>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</si>
  <si>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</si>
  <si>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</si>
  <si>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</si>
  <si>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</si>
  <si>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</si>
  <si>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</si>
  <si>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</si>
  <si>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</si>
  <si>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</si>
  <si>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</si>
  <si>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</si>
  <si>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</si>
  <si>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</si>
  <si>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</si>
  <si>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</si>
  <si>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</si>
  <si>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</si>
  <si>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</si>
  <si>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</si>
  <si>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</si>
  <si>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</si>
  <si>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</si>
  <si>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</si>
  <si>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</si>
  <si>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</si>
  <si>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</si>
  <si>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</si>
  <si>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</si>
  <si>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</si>
  <si>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</si>
  <si>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</si>
  <si>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</si>
  <si>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</si>
  <si>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</si>
  <si>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</si>
  <si>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</si>
  <si>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</si>
  <si>
    <t>Instructions: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</si>
  <si>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Open </t>
    </r>
    <r>
      <rPr>
        <b/>
        <sz val="11"/>
        <color theme="1"/>
        <rFont val="Times New Roman"/>
        <family val="1"/>
      </rPr>
      <t>Brightness_Termination_Data.xlsx</t>
    </r>
  </si>
  <si>
    <t>Question1:</t>
  </si>
  <si>
    <t>You are hired by Brightness, a hypermarket chain company, as a data analyst. Your first task is to project the number of employee termination based on 2020 termination records</t>
  </si>
  <si>
    <t xml:space="preserve">                     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</si>
  <si>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was the total number of terminations in 2020? </t>
    </r>
  </si>
  <si>
    <t>________________________________________</t>
  </si>
  <si>
    <r>
      <t>B)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Calculate the 2021 projected termination knowing that termination rate has grown around the world at an average of 7%</t>
    </r>
  </si>
  <si>
    <r>
      <t xml:space="preserve">       </t>
    </r>
    <r>
      <rPr>
        <b/>
        <sz val="11"/>
        <color theme="1"/>
        <rFont val="Times New Roman"/>
        <family val="1"/>
      </rPr>
      <t>Supportive formula:</t>
    </r>
    <r>
      <rPr>
        <sz val="11"/>
        <color theme="1"/>
        <rFont val="Times New Roman"/>
        <family val="1"/>
      </rPr>
      <t xml:space="preserve"> Projection termination of 2021 = Terminations of 2020 + (Terminations of 2020*7%)</t>
    </r>
  </si>
  <si>
    <t>_____________________________</t>
  </si>
  <si>
    <r>
      <t>C)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After you perform the calculation, create a table to study the effect of the rate on the projection of terminations 2021 (starting from 4% until 10% with 0.5% increments __________                                               </t>
    </r>
  </si>
  <si>
    <r>
      <t>D)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What would be the projected terminations if it is expected to grow by 4.5%?                   </t>
    </r>
  </si>
  <si>
    <t>_______________________________</t>
  </si>
  <si>
    <r>
      <t>E)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 xml:space="preserve">Create a summary table to show the total termination for each termination reason (Retirement, Resignation, Layoff),       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</si>
  <si>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Which one is the highest? </t>
    </r>
  </si>
  <si>
    <t>__________ _______________</t>
  </si>
  <si>
    <t xml:space="preserve">   </t>
  </si>
  <si>
    <r>
      <t>F)</t>
    </r>
    <r>
      <rPr>
        <b/>
        <sz val="7"/>
        <color theme="1"/>
        <rFont val="Times New Roman"/>
        <family val="1"/>
      </rPr>
      <t xml:space="preserve">     </t>
    </r>
    <r>
      <rPr>
        <sz val="11"/>
        <color theme="1"/>
        <rFont val="Times New Roman"/>
        <family val="1"/>
      </rPr>
      <t>Brightness is thinking of introducing a categorization of contract terminations, if the termination was a retirement or a resignation then it is a “Voluntary” termination, if it was a layoff then it is an “Involuntary” termination.</t>
    </r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</si>
  <si>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Based on the above description Fill out the </t>
    </r>
    <r>
      <rPr>
        <b/>
        <sz val="11"/>
        <color rgb="FFFF0000"/>
        <rFont val="Times New Roman"/>
        <family val="1"/>
      </rPr>
      <t>termtype_desc column.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</si>
  <si>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Times New Roman"/>
        <family val="1"/>
      </rPr>
      <t xml:space="preserve">What </t>
    </r>
    <r>
      <rPr>
        <u/>
        <sz val="11"/>
        <color theme="1"/>
        <rFont val="Times New Roman"/>
        <family val="1"/>
      </rPr>
      <t>percentage</t>
    </r>
    <r>
      <rPr>
        <sz val="11"/>
        <color theme="1"/>
        <rFont val="Times New Roman"/>
        <family val="1"/>
      </rPr>
      <t xml:space="preserve"> of total terminations were voluntary?</t>
    </r>
  </si>
  <si>
    <t>________</t>
  </si>
  <si>
    <r>
      <t>G)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</si>
  <si>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</si>
  <si>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</si>
  <si>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</si>
  <si>
    <r>
      <t xml:space="preserve">Fill out the </t>
    </r>
    <r>
      <rPr>
        <b/>
        <sz val="11"/>
        <color rgb="FFFF0000"/>
        <rFont val="Times New Roman"/>
        <family val="1"/>
      </rPr>
      <t>Emp_PrevSTATUS</t>
    </r>
    <r>
      <rPr>
        <sz val="11"/>
        <color rgb="FFFF0000"/>
        <rFont val="Times New Roman"/>
        <family val="1"/>
      </rPr>
      <t xml:space="preserve"> accordingly   </t>
    </r>
  </si>
  <si>
    <t>-END OF CASE STUDY-</t>
  </si>
  <si>
    <t>Row Labels</t>
  </si>
  <si>
    <t>Grand Total</t>
  </si>
  <si>
    <t>Count of termreason_desc</t>
  </si>
  <si>
    <t>Populated</t>
  </si>
  <si>
    <t>sumif/sum = avergae sales</t>
  </si>
  <si>
    <t>Voluntary</t>
  </si>
  <si>
    <t>InVoluntary</t>
  </si>
  <si>
    <t>count</t>
  </si>
  <si>
    <t>Formula applied: SUMIF(Q2:Q1486,"Voluntary",P2:P1486)</t>
  </si>
  <si>
    <t>Formula Used: SUMIF(Q2:Q1486,"Voluntary",P2:P1486)/1485</t>
  </si>
  <si>
    <r>
      <t>A)</t>
    </r>
    <r>
      <rPr>
        <b/>
        <sz val="7"/>
        <color theme="1"/>
        <rFont val="Times New Roman"/>
        <family val="1"/>
      </rPr>
      <t xml:space="preserve">    </t>
    </r>
    <r>
      <rPr>
        <sz val="11"/>
        <color theme="1"/>
        <rFont val="Times New Roman"/>
        <family val="1"/>
      </rPr>
      <t>You are to study the experience level of terminated employees based on the following rough classification.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</si>
  <si>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employee has served for 5 years or less then he/she is a “Newcomer”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</si>
  <si>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employee has served between 6 to 10 years, then he/she is a “Proficient”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</si>
  <si>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Times New Roman"/>
        <family val="1"/>
      </rPr>
      <t>If the employee has served for more than 10 years, the he/she is an “Expert’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</si>
</sst>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7"/>
      <color theme="1"/>
      <name val="Times New Roman"/>
      <family val="1"/>
    </font>
    <font>
      <b/>
      <sz val="11"/>
      <color rgb="FF4472C4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horizontal="left" vertical="center" indent="10"/>
    </xf>
    <xf numFmtId="0" fontId="0" fillId="0" borderId="0" xfId="0" applyAlignment="1">
      <alignment horizontal="left" vertical="center" indent="10"/>
    </xf>
    <xf numFmtId="0" fontId="11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7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NumberFormat="1"/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1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9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[Vanitha Rosy Project 1 - Brightness_Termination_Data - Questions.xlsx]Pivot_termreason_desc!PivotTable1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Pivot_termreason_desc!$B$4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Pivot_termreason_desc!$A$5:$A$8</c:f>
              <c:strCache>
                <c:ptCount val="3"/>
                <c:pt idx="0">
                  <c:v>Layoff</c:v>
                </c:pt>
                <c:pt idx="1">
                  <c:v>Resignation</c:v>
                </c:pt>
                <c:pt idx="2">
                  <c:v>Retirement</c:v>
                </c:pt>
              </c:strCache>
            </c:strRef>
          </c:cat>
          <c:val>
            <c:numRef>
              <c:f>Pivot_termreason_desc!$B$5:$B$8</c:f>
              <c:numCache>
                <c:formatCode>General</c:formatCode>
                <c:ptCount val="3"/>
                <c:pt idx="0">
                  <c:v>708</c:v>
                </c:pt>
                <c:pt idx="1">
                  <c:v>385</c:v>
                </c:pt>
                <c:pt idx="2">
                  <c:v>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0E-44C4-BA2F-FA47D148A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10724511"/>
        <c:axId val="510713951"/>
      </c:barChart>
      <c:catAx>
        <c:axId val="51072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13951"/>
        <c:crosses val="autoZero"/>
        <c:auto val="1"/>
        <c:lblAlgn val="ctr"/>
        <c:lblOffset val="100"/>
        <c:noMultiLvlLbl val="0"/>
      </c:catAx>
      <c:valAx>
        <c:axId val="51071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72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7B52AF-38A8-FD64-D5EF-577025AE58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nitha Rosy V A" refreshedDate="46170.253926736113" createdVersion="8" refreshedVersion="8" minRefreshableVersion="3" recordCount="1485" xr:uid="{2FDBD078-7641-4C84-9D81-F16B955297AE}">
  <cacheSource type="worksheet">
    <worksheetSource ref="A1:N1486" sheet="Data"/>
  </cacheSource>
  <cacheFields count="14">
    <cacheField name="EmployeeID" numFmtId="0">
      <sharedItems containsSemiMixedTypes="0" containsString="0" containsNumber="1" containsInteger="1" minValue="1338" maxValue="8321" count="1485">
        <n v="1338"/>
        <n v="1339"/>
        <n v="1340"/>
        <n v="1341"/>
        <n v="1343"/>
        <n v="1344"/>
        <n v="1346"/>
        <n v="1347"/>
        <n v="1351"/>
        <n v="1352"/>
        <n v="1353"/>
        <n v="1355"/>
        <n v="1357"/>
        <n v="1358"/>
        <n v="1359"/>
        <n v="1360"/>
        <n v="1362"/>
        <n v="1363"/>
        <n v="1365"/>
        <n v="1366"/>
        <n v="1367"/>
        <n v="1370"/>
        <n v="1372"/>
        <n v="1373"/>
        <n v="1374"/>
        <n v="1376"/>
        <n v="1377"/>
        <n v="1380"/>
        <n v="1381"/>
        <n v="1382"/>
        <n v="1383"/>
        <n v="1385"/>
        <n v="1386"/>
        <n v="1388"/>
        <n v="1389"/>
        <n v="1390"/>
        <n v="1391"/>
        <n v="1392"/>
        <n v="1394"/>
        <n v="1395"/>
        <n v="1396"/>
        <n v="1397"/>
        <n v="1399"/>
        <n v="1400"/>
        <n v="1401"/>
        <n v="1402"/>
        <n v="1403"/>
        <n v="1404"/>
        <n v="1405"/>
        <n v="1406"/>
        <n v="1408"/>
        <n v="1409"/>
        <n v="1411"/>
        <n v="1412"/>
        <n v="1413"/>
        <n v="1414"/>
        <n v="1417"/>
        <n v="1419"/>
        <n v="1421"/>
        <n v="1422"/>
        <n v="1425"/>
        <n v="1427"/>
        <n v="1428"/>
        <n v="1430"/>
        <n v="1431"/>
        <n v="1433"/>
        <n v="1434"/>
        <n v="1435"/>
        <n v="1436"/>
        <n v="1438"/>
        <n v="1439"/>
        <n v="1440"/>
        <n v="1441"/>
        <n v="1442"/>
        <n v="1444"/>
        <n v="1445"/>
        <n v="1446"/>
        <n v="1447"/>
        <n v="1448"/>
        <n v="1449"/>
        <n v="1453"/>
        <n v="1456"/>
        <n v="1458"/>
        <n v="1460"/>
        <n v="1461"/>
        <n v="1463"/>
        <n v="1465"/>
        <n v="1466"/>
        <n v="1469"/>
        <n v="1470"/>
        <n v="1474"/>
        <n v="1475"/>
        <n v="1476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4"/>
        <n v="1495"/>
        <n v="1497"/>
        <n v="1498"/>
        <n v="1499"/>
        <n v="1500"/>
        <n v="1502"/>
        <n v="1512"/>
        <n v="1513"/>
        <n v="1516"/>
        <n v="1517"/>
        <n v="1522"/>
        <n v="1523"/>
        <n v="1524"/>
        <n v="1527"/>
        <n v="1528"/>
        <n v="1529"/>
        <n v="1530"/>
        <n v="1532"/>
        <n v="1533"/>
        <n v="1534"/>
        <n v="1535"/>
        <n v="1536"/>
        <n v="1538"/>
        <n v="1541"/>
        <n v="1542"/>
        <n v="1543"/>
        <n v="1544"/>
        <n v="1545"/>
        <n v="1546"/>
        <n v="1547"/>
        <n v="1548"/>
        <n v="1549"/>
        <n v="1550"/>
        <n v="1552"/>
        <n v="1553"/>
        <n v="1554"/>
        <n v="1556"/>
        <n v="1558"/>
        <n v="1559"/>
        <n v="1560"/>
        <n v="1562"/>
        <n v="1566"/>
        <n v="1567"/>
        <n v="1568"/>
        <n v="1569"/>
        <n v="1571"/>
        <n v="1573"/>
        <n v="1574"/>
        <n v="1575"/>
        <n v="1578"/>
        <n v="1579"/>
        <n v="1580"/>
        <n v="1581"/>
        <n v="1585"/>
        <n v="1586"/>
        <n v="1587"/>
        <n v="1588"/>
        <n v="1589"/>
        <n v="1590"/>
        <n v="1592"/>
        <n v="1593"/>
        <n v="1594"/>
        <n v="1595"/>
        <n v="1596"/>
        <n v="1597"/>
        <n v="1598"/>
        <n v="1599"/>
        <n v="1600"/>
        <n v="1603"/>
        <n v="1610"/>
        <n v="1611"/>
        <n v="1612"/>
        <n v="1613"/>
        <n v="1615"/>
        <n v="1616"/>
        <n v="1617"/>
        <n v="1618"/>
        <n v="1619"/>
        <n v="1621"/>
        <n v="1624"/>
        <n v="1627"/>
        <n v="1628"/>
        <n v="1631"/>
        <n v="1632"/>
        <n v="1633"/>
        <n v="1634"/>
        <n v="1636"/>
        <n v="1638"/>
        <n v="1640"/>
        <n v="1642"/>
        <n v="1643"/>
        <n v="1644"/>
        <n v="1645"/>
        <n v="1647"/>
        <n v="1650"/>
        <n v="1651"/>
        <n v="1652"/>
        <n v="1653"/>
        <n v="1655"/>
        <n v="1656"/>
        <n v="1658"/>
        <n v="1662"/>
        <n v="1664"/>
        <n v="1668"/>
        <n v="1670"/>
        <n v="1671"/>
        <n v="1672"/>
        <n v="1673"/>
        <n v="1674"/>
        <n v="1677"/>
        <n v="1680"/>
        <n v="1683"/>
        <n v="1684"/>
        <n v="1687"/>
        <n v="1690"/>
        <n v="1691"/>
        <n v="1693"/>
        <n v="1695"/>
        <n v="1700"/>
        <n v="1711"/>
        <n v="1714"/>
        <n v="1722"/>
        <n v="1730"/>
        <n v="1742"/>
        <n v="1780"/>
        <n v="1781"/>
        <n v="1783"/>
        <n v="1784"/>
        <n v="1787"/>
        <n v="1788"/>
        <n v="1789"/>
        <n v="1792"/>
        <n v="1795"/>
        <n v="1799"/>
        <n v="1823"/>
        <n v="1859"/>
        <n v="1885"/>
        <n v="1894"/>
        <n v="1920"/>
        <n v="1943"/>
        <n v="1951"/>
        <n v="1998"/>
        <n v="2002"/>
        <n v="2042"/>
        <n v="2103"/>
        <n v="2127"/>
        <n v="2164"/>
        <n v="2266"/>
        <n v="2303"/>
        <n v="2304"/>
        <n v="2310"/>
        <n v="2325"/>
        <n v="2332"/>
        <n v="2337"/>
        <n v="2342"/>
        <n v="2348"/>
        <n v="2350"/>
        <n v="2360"/>
        <n v="2365"/>
        <n v="2380"/>
        <n v="2386"/>
        <n v="2388"/>
        <n v="2392"/>
        <n v="2395"/>
        <n v="2396"/>
        <n v="2400"/>
        <n v="2406"/>
        <n v="2411"/>
        <n v="2412"/>
        <n v="2415"/>
        <n v="2417"/>
        <n v="2419"/>
        <n v="2425"/>
        <n v="2440"/>
        <n v="2442"/>
        <n v="2452"/>
        <n v="2453"/>
        <n v="2456"/>
        <n v="2464"/>
        <n v="2467"/>
        <n v="2469"/>
        <n v="2473"/>
        <n v="2474"/>
        <n v="2478"/>
        <n v="2479"/>
        <n v="2484"/>
        <n v="2489"/>
        <n v="2494"/>
        <n v="2495"/>
        <n v="2496"/>
        <n v="2499"/>
        <n v="2508"/>
        <n v="2510"/>
        <n v="2517"/>
        <n v="2520"/>
        <n v="2522"/>
        <n v="2524"/>
        <n v="2540"/>
        <n v="2542"/>
        <n v="2545"/>
        <n v="2552"/>
        <n v="2558"/>
        <n v="2567"/>
        <n v="2568"/>
        <n v="2575"/>
        <n v="2578"/>
        <n v="2579"/>
        <n v="2588"/>
        <n v="2591"/>
        <n v="2595"/>
        <n v="2597"/>
        <n v="2598"/>
        <n v="2599"/>
        <n v="2608"/>
        <n v="2609"/>
        <n v="2640"/>
        <n v="2645"/>
        <n v="2650"/>
        <n v="2651"/>
        <n v="2652"/>
        <n v="2667"/>
        <n v="2668"/>
        <n v="2670"/>
        <n v="2674"/>
        <n v="2675"/>
        <n v="2679"/>
        <n v="2681"/>
        <n v="2689"/>
        <n v="2696"/>
        <n v="2701"/>
        <n v="2702"/>
        <n v="2703"/>
        <n v="2705"/>
        <n v="2708"/>
        <n v="2716"/>
        <n v="2720"/>
        <n v="2723"/>
        <n v="2724"/>
        <n v="2726"/>
        <n v="2730"/>
        <n v="2733"/>
        <n v="2737"/>
        <n v="2739"/>
        <n v="2744"/>
        <n v="2747"/>
        <n v="2748"/>
        <n v="2750"/>
        <n v="2756"/>
        <n v="2761"/>
        <n v="2762"/>
        <n v="2766"/>
        <n v="2767"/>
        <n v="2778"/>
        <n v="2782"/>
        <n v="2784"/>
        <n v="2800"/>
        <n v="2806"/>
        <n v="2813"/>
        <n v="2816"/>
        <n v="2819"/>
        <n v="2824"/>
        <n v="2827"/>
        <n v="2845"/>
        <n v="2851"/>
        <n v="2853"/>
        <n v="2862"/>
        <n v="2865"/>
        <n v="2871"/>
        <n v="2873"/>
        <n v="2877"/>
        <n v="2887"/>
        <n v="2893"/>
        <n v="2894"/>
        <n v="2895"/>
        <n v="2900"/>
        <n v="2907"/>
        <n v="2910"/>
        <n v="2913"/>
        <n v="2916"/>
        <n v="2918"/>
        <n v="2919"/>
        <n v="2932"/>
        <n v="2935"/>
        <n v="2937"/>
        <n v="2938"/>
        <n v="2941"/>
        <n v="2942"/>
        <n v="2946"/>
        <n v="2953"/>
        <n v="2963"/>
        <n v="2965"/>
        <n v="2970"/>
        <n v="2971"/>
        <n v="2972"/>
        <n v="2974"/>
        <n v="2977"/>
        <n v="2980"/>
        <n v="2987"/>
        <n v="2988"/>
        <n v="2991"/>
        <n v="2998"/>
        <n v="3000"/>
        <n v="3002"/>
        <n v="3005"/>
        <n v="3006"/>
        <n v="3008"/>
        <n v="3012"/>
        <n v="3013"/>
        <n v="3016"/>
        <n v="3017"/>
        <n v="3018"/>
        <n v="3022"/>
        <n v="3024"/>
        <n v="3026"/>
        <n v="3031"/>
        <n v="3035"/>
        <n v="3042"/>
        <n v="3046"/>
        <n v="3048"/>
        <n v="3050"/>
        <n v="3057"/>
        <n v="3067"/>
        <n v="3071"/>
        <n v="3075"/>
        <n v="3082"/>
        <n v="3083"/>
        <n v="3093"/>
        <n v="3102"/>
        <n v="3115"/>
        <n v="3116"/>
        <n v="3125"/>
        <n v="3127"/>
        <n v="3129"/>
        <n v="3142"/>
        <n v="3144"/>
        <n v="3149"/>
        <n v="3152"/>
        <n v="3156"/>
        <n v="3157"/>
        <n v="3159"/>
        <n v="3160"/>
        <n v="3169"/>
        <n v="3174"/>
        <n v="3175"/>
        <n v="3183"/>
        <n v="3184"/>
        <n v="3188"/>
        <n v="3197"/>
        <n v="3201"/>
        <n v="3202"/>
        <n v="3209"/>
        <n v="3216"/>
        <n v="3220"/>
        <n v="3226"/>
        <n v="3233"/>
        <n v="3234"/>
        <n v="3235"/>
        <n v="3236"/>
        <n v="3241"/>
        <n v="3248"/>
        <n v="3262"/>
        <n v="3268"/>
        <n v="3270"/>
        <n v="3271"/>
        <n v="3272"/>
        <n v="3273"/>
        <n v="3275"/>
        <n v="3294"/>
        <n v="3296"/>
        <n v="3310"/>
        <n v="3327"/>
        <n v="3330"/>
        <n v="3338"/>
        <n v="3346"/>
        <n v="3350"/>
        <n v="3351"/>
        <n v="3356"/>
        <n v="3358"/>
        <n v="3359"/>
        <n v="3361"/>
        <n v="3366"/>
        <n v="3368"/>
        <n v="3371"/>
        <n v="3383"/>
        <n v="3391"/>
        <n v="3393"/>
        <n v="3401"/>
        <n v="3405"/>
        <n v="3408"/>
        <n v="3410"/>
        <n v="3417"/>
        <n v="3426"/>
        <n v="3429"/>
        <n v="3435"/>
        <n v="3437"/>
        <n v="3441"/>
        <n v="3447"/>
        <n v="3455"/>
        <n v="3464"/>
        <n v="3465"/>
        <n v="3470"/>
        <n v="3475"/>
        <n v="3477"/>
        <n v="3481"/>
        <n v="3482"/>
        <n v="3484"/>
        <n v="3492"/>
        <n v="3503"/>
        <n v="3506"/>
        <n v="3509"/>
        <n v="3511"/>
        <n v="3512"/>
        <n v="3519"/>
        <n v="3520"/>
        <n v="3521"/>
        <n v="3541"/>
        <n v="3543"/>
        <n v="3554"/>
        <n v="3556"/>
        <n v="3561"/>
        <n v="3566"/>
        <n v="3570"/>
        <n v="3572"/>
        <n v="3573"/>
        <n v="3578"/>
        <n v="3585"/>
        <n v="3588"/>
        <n v="3599"/>
        <n v="3605"/>
        <n v="3611"/>
        <n v="3619"/>
        <n v="3620"/>
        <n v="3621"/>
        <n v="3626"/>
        <n v="3632"/>
        <n v="3635"/>
        <n v="3644"/>
        <n v="3647"/>
        <n v="3648"/>
        <n v="3653"/>
        <n v="3657"/>
        <n v="3658"/>
        <n v="3659"/>
        <n v="3660"/>
        <n v="3661"/>
        <n v="3662"/>
        <n v="3663"/>
        <n v="3664"/>
        <n v="3680"/>
        <n v="3683"/>
        <n v="3686"/>
        <n v="3689"/>
        <n v="3690"/>
        <n v="3692"/>
        <n v="3698"/>
        <n v="3703"/>
        <n v="3706"/>
        <n v="3711"/>
        <n v="3718"/>
        <n v="3721"/>
        <n v="3722"/>
        <n v="3730"/>
        <n v="3733"/>
        <n v="3741"/>
        <n v="3744"/>
        <n v="3752"/>
        <n v="3753"/>
        <n v="3765"/>
        <n v="3771"/>
        <n v="3772"/>
        <n v="3778"/>
        <n v="3787"/>
        <n v="3789"/>
        <n v="3796"/>
        <n v="3804"/>
        <n v="3814"/>
        <n v="3815"/>
        <n v="3817"/>
        <n v="3824"/>
        <n v="3830"/>
        <n v="3832"/>
        <n v="3840"/>
        <n v="3845"/>
        <n v="3850"/>
        <n v="3851"/>
        <n v="3866"/>
        <n v="3871"/>
        <n v="3875"/>
        <n v="3885"/>
        <n v="3892"/>
        <n v="3893"/>
        <n v="3900"/>
        <n v="3905"/>
        <n v="3917"/>
        <n v="3922"/>
        <n v="3924"/>
        <n v="3926"/>
        <n v="3932"/>
        <n v="3935"/>
        <n v="3937"/>
        <n v="3939"/>
        <n v="3940"/>
        <n v="3942"/>
        <n v="3960"/>
        <n v="3964"/>
        <n v="3969"/>
        <n v="3970"/>
        <n v="3977"/>
        <n v="3978"/>
        <n v="3985"/>
        <n v="3987"/>
        <n v="3988"/>
        <n v="3994"/>
        <n v="3999"/>
        <n v="4014"/>
        <n v="4018"/>
        <n v="4025"/>
        <n v="4030"/>
        <n v="4039"/>
        <n v="4046"/>
        <n v="4049"/>
        <n v="4057"/>
        <n v="4063"/>
        <n v="4065"/>
        <n v="4075"/>
        <n v="4082"/>
        <n v="4085"/>
        <n v="4091"/>
        <n v="4093"/>
        <n v="4098"/>
        <n v="4099"/>
        <n v="4103"/>
        <n v="4107"/>
        <n v="4110"/>
        <n v="4111"/>
        <n v="4115"/>
        <n v="4116"/>
        <n v="4118"/>
        <n v="4125"/>
        <n v="4128"/>
        <n v="4129"/>
        <n v="4131"/>
        <n v="4133"/>
        <n v="4134"/>
        <n v="4135"/>
        <n v="4138"/>
        <n v="4140"/>
        <n v="4141"/>
        <n v="4142"/>
        <n v="4143"/>
        <n v="4146"/>
        <n v="4149"/>
        <n v="4150"/>
        <n v="4157"/>
        <n v="4158"/>
        <n v="4159"/>
        <n v="4162"/>
        <n v="4166"/>
        <n v="4169"/>
        <n v="4175"/>
        <n v="4176"/>
        <n v="4179"/>
        <n v="4182"/>
        <n v="4183"/>
        <n v="4199"/>
        <n v="4203"/>
        <n v="4210"/>
        <n v="4212"/>
        <n v="4215"/>
        <n v="4221"/>
        <n v="4223"/>
        <n v="4230"/>
        <n v="4232"/>
        <n v="4234"/>
        <n v="4235"/>
        <n v="4237"/>
        <n v="4238"/>
        <n v="4239"/>
        <n v="4242"/>
        <n v="4248"/>
        <n v="4250"/>
        <n v="4252"/>
        <n v="4254"/>
        <n v="4259"/>
        <n v="4262"/>
        <n v="4263"/>
        <n v="4265"/>
        <n v="4271"/>
        <n v="4272"/>
        <n v="4276"/>
        <n v="4277"/>
        <n v="4278"/>
        <n v="4281"/>
        <n v="4284"/>
        <n v="4290"/>
        <n v="4291"/>
        <n v="4293"/>
        <n v="4294"/>
        <n v="4296"/>
        <n v="4298"/>
        <n v="4303"/>
        <n v="4304"/>
        <n v="4310"/>
        <n v="4315"/>
        <n v="4316"/>
        <n v="4317"/>
        <n v="4318"/>
        <n v="4319"/>
        <n v="4320"/>
        <n v="4323"/>
        <n v="4336"/>
        <n v="4337"/>
        <n v="4339"/>
        <n v="4340"/>
        <n v="4344"/>
        <n v="4345"/>
        <n v="4346"/>
        <n v="4347"/>
        <n v="4353"/>
        <n v="4354"/>
        <n v="4356"/>
        <n v="4357"/>
        <n v="4359"/>
        <n v="4366"/>
        <n v="4371"/>
        <n v="4373"/>
        <n v="4374"/>
        <n v="4377"/>
        <n v="4381"/>
        <n v="4382"/>
        <n v="4388"/>
        <n v="4389"/>
        <n v="4390"/>
        <n v="4391"/>
        <n v="4394"/>
        <n v="4400"/>
        <n v="4401"/>
        <n v="4406"/>
        <n v="4408"/>
        <n v="4409"/>
        <n v="4412"/>
        <n v="4419"/>
        <n v="4430"/>
        <n v="4431"/>
        <n v="4432"/>
        <n v="4434"/>
        <n v="4437"/>
        <n v="4439"/>
        <n v="4440"/>
        <n v="4442"/>
        <n v="4445"/>
        <n v="4448"/>
        <n v="4449"/>
        <n v="4450"/>
        <n v="4451"/>
        <n v="4458"/>
        <n v="4461"/>
        <n v="4465"/>
        <n v="4466"/>
        <n v="4473"/>
        <n v="4474"/>
        <n v="4478"/>
        <n v="4479"/>
        <n v="4480"/>
        <n v="4481"/>
        <n v="4482"/>
        <n v="4486"/>
        <n v="4488"/>
        <n v="4491"/>
        <n v="4493"/>
        <n v="4495"/>
        <n v="4496"/>
        <n v="4497"/>
        <n v="4500"/>
        <n v="4501"/>
        <n v="4505"/>
        <n v="4506"/>
        <n v="4510"/>
        <n v="4512"/>
        <n v="4514"/>
        <n v="4517"/>
        <n v="4525"/>
        <n v="4534"/>
        <n v="4539"/>
        <n v="4540"/>
        <n v="4544"/>
        <n v="4546"/>
        <n v="4548"/>
        <n v="4549"/>
        <n v="4550"/>
        <n v="4555"/>
        <n v="4557"/>
        <n v="4558"/>
        <n v="4559"/>
        <n v="4560"/>
        <n v="4565"/>
        <n v="4566"/>
        <n v="4567"/>
        <n v="4570"/>
        <n v="4574"/>
        <n v="4577"/>
        <n v="4580"/>
        <n v="4588"/>
        <n v="4589"/>
        <n v="4592"/>
        <n v="4598"/>
        <n v="4599"/>
        <n v="4602"/>
        <n v="4604"/>
        <n v="4605"/>
        <n v="4606"/>
        <n v="4608"/>
        <n v="4611"/>
        <n v="4613"/>
        <n v="4614"/>
        <n v="4615"/>
        <n v="4617"/>
        <n v="4619"/>
        <n v="4621"/>
        <n v="4628"/>
        <n v="4632"/>
        <n v="4633"/>
        <n v="4634"/>
        <n v="4635"/>
        <n v="4636"/>
        <n v="4637"/>
        <n v="4641"/>
        <n v="4643"/>
        <n v="4645"/>
        <n v="4647"/>
        <n v="4649"/>
        <n v="4657"/>
        <n v="4658"/>
        <n v="4659"/>
        <n v="4662"/>
        <n v="4665"/>
        <n v="4666"/>
        <n v="4669"/>
        <n v="4670"/>
        <n v="4671"/>
        <n v="4672"/>
        <n v="4675"/>
        <n v="4679"/>
        <n v="4680"/>
        <n v="4689"/>
        <n v="4690"/>
        <n v="4692"/>
        <n v="4694"/>
        <n v="4697"/>
        <n v="4702"/>
        <n v="4705"/>
        <n v="4707"/>
        <n v="4708"/>
        <n v="4710"/>
        <n v="4711"/>
        <n v="4717"/>
        <n v="4719"/>
        <n v="4721"/>
        <n v="4723"/>
        <n v="4726"/>
        <n v="4727"/>
        <n v="4731"/>
        <n v="4733"/>
        <n v="4735"/>
        <n v="4738"/>
        <n v="4741"/>
        <n v="4742"/>
        <n v="4743"/>
        <n v="4747"/>
        <n v="4748"/>
        <n v="4750"/>
        <n v="4752"/>
        <n v="4755"/>
        <n v="4756"/>
        <n v="4757"/>
        <n v="4760"/>
        <n v="4762"/>
        <n v="4763"/>
        <n v="4765"/>
        <n v="4767"/>
        <n v="4769"/>
        <n v="4770"/>
        <n v="4771"/>
        <n v="4772"/>
        <n v="4775"/>
        <n v="4778"/>
        <n v="4779"/>
        <n v="4786"/>
        <n v="4792"/>
        <n v="4794"/>
        <n v="4795"/>
        <n v="4797"/>
        <n v="4800"/>
        <n v="4805"/>
        <n v="4806"/>
        <n v="4807"/>
        <n v="4808"/>
        <n v="4809"/>
        <n v="4811"/>
        <n v="4815"/>
        <n v="4819"/>
        <n v="4820"/>
        <n v="4823"/>
        <n v="4827"/>
        <n v="4828"/>
        <n v="4833"/>
        <n v="4835"/>
        <n v="4836"/>
        <n v="4841"/>
        <n v="4848"/>
        <n v="4854"/>
        <n v="4856"/>
        <n v="4857"/>
        <n v="4858"/>
        <n v="4862"/>
        <n v="4863"/>
        <n v="4864"/>
        <n v="4865"/>
        <n v="4867"/>
        <n v="4874"/>
        <n v="4875"/>
        <n v="4877"/>
        <n v="4881"/>
        <n v="4885"/>
        <n v="4886"/>
        <n v="4889"/>
        <n v="4894"/>
        <n v="4896"/>
        <n v="4897"/>
        <n v="4899"/>
        <n v="4901"/>
        <n v="4902"/>
        <n v="4903"/>
        <n v="4904"/>
        <n v="4905"/>
        <n v="4908"/>
        <n v="4910"/>
        <n v="4911"/>
        <n v="4912"/>
        <n v="4913"/>
        <n v="4914"/>
        <n v="4915"/>
        <n v="4916"/>
        <n v="4918"/>
        <n v="4920"/>
        <n v="4921"/>
        <n v="4924"/>
        <n v="4926"/>
        <n v="4929"/>
        <n v="4932"/>
        <n v="4941"/>
        <n v="4942"/>
        <n v="4948"/>
        <n v="4949"/>
        <n v="4950"/>
        <n v="4951"/>
        <n v="4953"/>
        <n v="4955"/>
        <n v="4958"/>
        <n v="4960"/>
        <n v="4964"/>
        <n v="4965"/>
        <n v="4972"/>
        <n v="4974"/>
        <n v="4975"/>
        <n v="4980"/>
        <n v="4981"/>
        <n v="4983"/>
        <n v="4991"/>
        <n v="4995"/>
        <n v="4999"/>
        <n v="5000"/>
        <n v="5001"/>
        <n v="5002"/>
        <n v="5004"/>
        <n v="5005"/>
        <n v="5006"/>
        <n v="5007"/>
        <n v="5008"/>
        <n v="5011"/>
        <n v="5012"/>
        <n v="5013"/>
        <n v="5014"/>
        <n v="5015"/>
        <n v="5018"/>
        <n v="5020"/>
        <n v="5021"/>
        <n v="5025"/>
        <n v="5028"/>
        <n v="5037"/>
        <n v="5038"/>
        <n v="5039"/>
        <n v="5047"/>
        <n v="5051"/>
        <n v="5052"/>
        <n v="5053"/>
        <n v="5054"/>
        <n v="5064"/>
        <n v="5066"/>
        <n v="5068"/>
        <n v="5071"/>
        <n v="5076"/>
        <n v="5077"/>
        <n v="5079"/>
        <n v="5081"/>
        <n v="5082"/>
        <n v="5083"/>
        <n v="5084"/>
        <n v="5088"/>
        <n v="5091"/>
        <n v="5095"/>
        <n v="5096"/>
        <n v="5097"/>
        <n v="5098"/>
        <n v="5099"/>
        <n v="5104"/>
        <n v="5108"/>
        <n v="5109"/>
        <n v="5112"/>
        <n v="5121"/>
        <n v="5125"/>
        <n v="5156"/>
        <n v="5178"/>
        <n v="5200"/>
        <n v="5218"/>
        <n v="5236"/>
        <n v="5245"/>
        <n v="5246"/>
        <n v="5251"/>
        <n v="5263"/>
        <n v="5279"/>
        <n v="5288"/>
        <n v="5303"/>
        <n v="5347"/>
        <n v="5356"/>
        <n v="5357"/>
        <n v="5361"/>
        <n v="5366"/>
        <n v="5387"/>
        <n v="5399"/>
        <n v="5407"/>
        <n v="5416"/>
        <n v="5421"/>
        <n v="5429"/>
        <n v="5462"/>
        <n v="5475"/>
        <n v="5476"/>
        <n v="5477"/>
        <n v="5481"/>
        <n v="5502"/>
        <n v="5509"/>
        <n v="5517"/>
        <n v="5520"/>
        <n v="5536"/>
        <n v="5569"/>
        <n v="5570"/>
        <n v="5583"/>
        <n v="5585"/>
        <n v="5591"/>
        <n v="5604"/>
        <n v="5630"/>
        <n v="5652"/>
        <n v="5653"/>
        <n v="5654"/>
        <n v="5674"/>
        <n v="5688"/>
        <n v="5696"/>
        <n v="5716"/>
        <n v="5724"/>
        <n v="5742"/>
        <n v="5745"/>
        <n v="5775"/>
        <n v="5786"/>
        <n v="5836"/>
        <n v="5837"/>
        <n v="5843"/>
        <n v="5857"/>
        <n v="5872"/>
        <n v="5874"/>
        <n v="5882"/>
        <n v="5892"/>
        <n v="5920"/>
        <n v="5930"/>
        <n v="5942"/>
        <n v="5951"/>
        <n v="5959"/>
        <n v="5961"/>
        <n v="5965"/>
        <n v="5974"/>
        <n v="5978"/>
        <n v="6017"/>
        <n v="6046"/>
        <n v="6064"/>
        <n v="6082"/>
        <n v="6092"/>
        <n v="6111"/>
        <n v="6130"/>
        <n v="6133"/>
        <n v="6134"/>
        <n v="6136"/>
        <n v="6147"/>
        <n v="6167"/>
        <n v="6185"/>
        <n v="6192"/>
        <n v="6195"/>
        <n v="6229"/>
        <n v="6236"/>
        <n v="6243"/>
        <n v="6247"/>
        <n v="6263"/>
        <n v="6284"/>
        <n v="6312"/>
        <n v="6323"/>
        <n v="6325"/>
        <n v="6353"/>
        <n v="6365"/>
        <n v="6369"/>
        <n v="6389"/>
        <n v="6406"/>
        <n v="6408"/>
        <n v="6433"/>
        <n v="6435"/>
        <n v="6441"/>
        <n v="6451"/>
        <n v="6456"/>
        <n v="6473"/>
        <n v="6474"/>
        <n v="6478"/>
        <n v="6480"/>
        <n v="6482"/>
        <n v="6485"/>
        <n v="6488"/>
        <n v="6512"/>
        <n v="6525"/>
        <n v="6528"/>
        <n v="6540"/>
        <n v="6561"/>
        <n v="6567"/>
        <n v="6568"/>
        <n v="6577"/>
        <n v="6580"/>
        <n v="6586"/>
        <n v="6587"/>
        <n v="6616"/>
        <n v="6621"/>
        <n v="6624"/>
        <n v="6626"/>
        <n v="6631"/>
        <n v="6632"/>
        <n v="6633"/>
        <n v="6635"/>
        <n v="6638"/>
        <n v="6639"/>
        <n v="6640"/>
        <n v="6641"/>
        <n v="6642"/>
        <n v="6654"/>
        <n v="6666"/>
        <n v="6676"/>
        <n v="6680"/>
        <n v="6684"/>
        <n v="6685"/>
        <n v="6686"/>
        <n v="6688"/>
        <n v="6692"/>
        <n v="6693"/>
        <n v="6694"/>
        <n v="6696"/>
        <n v="6700"/>
        <n v="6702"/>
        <n v="6703"/>
        <n v="6704"/>
        <n v="6709"/>
        <n v="6710"/>
        <n v="6711"/>
        <n v="6712"/>
        <n v="6713"/>
        <n v="6714"/>
        <n v="6715"/>
        <n v="6717"/>
        <n v="6740"/>
        <n v="6741"/>
        <n v="6747"/>
        <n v="6755"/>
        <n v="6763"/>
        <n v="6773"/>
        <n v="6774"/>
        <n v="6781"/>
        <n v="6784"/>
        <n v="6789"/>
        <n v="6790"/>
        <n v="6804"/>
        <n v="6807"/>
        <n v="6810"/>
        <n v="6826"/>
        <n v="6828"/>
        <n v="6829"/>
        <n v="6831"/>
        <n v="6832"/>
        <n v="6833"/>
        <n v="6836"/>
        <n v="6837"/>
        <n v="6838"/>
        <n v="6840"/>
        <n v="6841"/>
        <n v="6863"/>
        <n v="6867"/>
        <n v="6868"/>
        <n v="6869"/>
        <n v="6870"/>
        <n v="6872"/>
        <n v="6874"/>
        <n v="6875"/>
        <n v="6880"/>
        <n v="6896"/>
        <n v="6912"/>
        <n v="6913"/>
        <n v="6914"/>
        <n v="6915"/>
        <n v="6918"/>
        <n v="6919"/>
        <n v="6921"/>
        <n v="6937"/>
        <n v="6941"/>
        <n v="6955"/>
        <n v="6974"/>
        <n v="6980"/>
        <n v="6981"/>
        <n v="7005"/>
        <n v="7006"/>
        <n v="7007"/>
        <n v="7010"/>
        <n v="7016"/>
        <n v="7020"/>
        <n v="7023"/>
        <n v="7025"/>
        <n v="7026"/>
        <n v="7027"/>
        <n v="7028"/>
        <n v="7030"/>
        <n v="7033"/>
        <n v="7036"/>
        <n v="7039"/>
        <n v="7041"/>
        <n v="7042"/>
        <n v="7052"/>
        <n v="7056"/>
        <n v="7059"/>
        <n v="7067"/>
        <n v="7079"/>
        <n v="7080"/>
        <n v="7083"/>
        <n v="7086"/>
        <n v="7088"/>
        <n v="7089"/>
        <n v="7091"/>
        <n v="7093"/>
        <n v="7094"/>
        <n v="7096"/>
        <n v="7100"/>
        <n v="7101"/>
        <n v="7103"/>
        <n v="7111"/>
        <n v="7122"/>
        <n v="7123"/>
        <n v="7124"/>
        <n v="7125"/>
        <n v="7127"/>
        <n v="7128"/>
        <n v="7129"/>
        <n v="7130"/>
        <n v="7131"/>
        <n v="7135"/>
        <n v="7136"/>
        <n v="7137"/>
        <n v="7138"/>
        <n v="7140"/>
        <n v="7142"/>
        <n v="7146"/>
        <n v="7175"/>
        <n v="7194"/>
        <n v="7207"/>
        <n v="7218"/>
        <n v="7219"/>
        <n v="7247"/>
        <n v="7249"/>
        <n v="7251"/>
        <n v="7253"/>
        <n v="7258"/>
        <n v="7260"/>
        <n v="7262"/>
        <n v="7263"/>
        <n v="7265"/>
        <n v="7268"/>
        <n v="7269"/>
        <n v="7270"/>
        <n v="7273"/>
        <n v="7274"/>
        <n v="7282"/>
        <n v="7287"/>
        <n v="7288"/>
        <n v="7291"/>
        <n v="7296"/>
        <n v="7297"/>
        <n v="7300"/>
        <n v="7302"/>
        <n v="7322"/>
        <n v="7325"/>
        <n v="7370"/>
        <n v="7388"/>
        <n v="7406"/>
        <n v="7411"/>
        <n v="7416"/>
        <n v="7424"/>
        <n v="7425"/>
        <n v="7430"/>
        <n v="7433"/>
        <n v="7434"/>
        <n v="7435"/>
        <n v="7439"/>
        <n v="7440"/>
        <n v="7441"/>
        <n v="7448"/>
        <n v="7454"/>
        <n v="7462"/>
        <n v="7464"/>
        <n v="7466"/>
        <n v="7467"/>
        <n v="7469"/>
        <n v="7473"/>
        <n v="7475"/>
        <n v="7479"/>
        <n v="7483"/>
        <n v="7485"/>
        <n v="7487"/>
        <n v="7530"/>
        <n v="7532"/>
        <n v="7537"/>
        <n v="7560"/>
        <n v="7566"/>
        <n v="7574"/>
        <n v="7584"/>
        <n v="7595"/>
        <n v="7598"/>
        <n v="7599"/>
        <n v="7600"/>
        <n v="7601"/>
        <n v="7603"/>
        <n v="7605"/>
        <n v="7608"/>
        <n v="7609"/>
        <n v="7610"/>
        <n v="7611"/>
        <n v="7612"/>
        <n v="7613"/>
        <n v="7615"/>
        <n v="7617"/>
        <n v="7632"/>
        <n v="7648"/>
        <n v="7649"/>
        <n v="7659"/>
        <n v="7677"/>
        <n v="7679"/>
        <n v="7680"/>
        <n v="7681"/>
        <n v="7682"/>
        <n v="7683"/>
        <n v="7685"/>
        <n v="7686"/>
        <n v="7687"/>
        <n v="7688"/>
        <n v="7689"/>
        <n v="7690"/>
        <n v="7691"/>
        <n v="7694"/>
        <n v="7695"/>
        <n v="7696"/>
        <n v="7719"/>
        <n v="7726"/>
        <n v="7741"/>
        <n v="7752"/>
        <n v="7758"/>
        <n v="7765"/>
        <n v="7778"/>
        <n v="7797"/>
        <n v="7798"/>
        <n v="7801"/>
        <n v="7805"/>
        <n v="7842"/>
        <n v="7844"/>
        <n v="7854"/>
        <n v="7856"/>
        <n v="7911"/>
        <n v="7937"/>
        <n v="7949"/>
        <n v="7973"/>
        <n v="7976"/>
        <n v="7997"/>
        <n v="8008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5"/>
        <n v="8036"/>
        <n v="8042"/>
        <n v="8047"/>
        <n v="8055"/>
        <n v="8065"/>
        <n v="8069"/>
        <n v="8070"/>
        <n v="8080"/>
        <n v="8083"/>
        <n v="8105"/>
        <n v="8126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214"/>
        <n v="8223"/>
        <n v="8226"/>
        <n v="8231"/>
        <n v="8258"/>
        <n v="8264"/>
        <n v="8279"/>
        <n v="8296"/>
        <n v="8321"/>
      </sharedItems>
    </cacheField>
    <cacheField name="hiredate_key" numFmtId="14">
      <sharedItems containsSemiMixedTypes="0" containsNonDate="0" containsDate="1" containsString="0" minDate="1990-01-03T00:00:00" maxDate="2015-12-07T00:00:00"/>
    </cacheField>
    <cacheField name="terminationdate_key" numFmtId="14">
      <sharedItems containsSemiMixedTypes="0" containsNonDate="0" containsDate="1" containsString="0" minDate="2020-01-01T00:00:00" maxDate="2020-12-31T00:00:00"/>
    </cacheField>
    <cacheField name="length_of_service" numFmtId="0">
      <sharedItems containsSemiMixedTypes="0" containsString="0" containsNumber="1" containsInteger="1" minValue="5" maxValue="30"/>
    </cacheField>
    <cacheField name="Emp_PrevSTATUS" numFmtId="0">
      <sharedItems containsNonDate="0" containsString="0" containsBlank="1"/>
    </cacheField>
    <cacheField name="city_name" numFmtId="0">
      <sharedItems/>
    </cacheField>
    <cacheField name="department_name" numFmtId="0">
      <sharedItems/>
    </cacheField>
    <cacheField name="job_title" numFmtId="0">
      <sharedItems/>
    </cacheField>
    <cacheField name="store_name" numFmtId="0">
      <sharedItems containsSemiMixedTypes="0" containsString="0" containsNumber="1" containsInteger="1" minValue="1" maxValue="46"/>
    </cacheField>
    <cacheField name="gender_short" numFmtId="0">
      <sharedItems/>
    </cacheField>
    <cacheField name="gender_full" numFmtId="0">
      <sharedItems/>
    </cacheField>
    <cacheField name="termreason_desc" numFmtId="0">
      <sharedItems count="3">
        <s v="Retirement"/>
        <s v="Resignation"/>
        <s v="Layoff"/>
      </sharedItems>
    </cacheField>
    <cacheField name="termtype_desc" numFmtId="0">
      <sharedItems containsNonDate="0" containsString="0" containsBlank="1" count="1">
        <m/>
      </sharedItems>
    </cacheField>
    <cacheField name="BUSINESS_UNI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5">
  <r>
    <x v="0"/>
    <d v="2007-07-25T00:00:00"/>
    <d v="2020-01-19T00:00:00"/>
    <n v="13"/>
    <m/>
    <s v="Vancouver"/>
    <s v="Training"/>
    <s v="Director, Training"/>
    <n v="35"/>
    <s v="M"/>
    <s v="Male"/>
    <x v="0"/>
    <x v="0"/>
    <s v="HEADOFFICE"/>
  </r>
  <r>
    <x v="1"/>
    <d v="1993-03-23T00:00:00"/>
    <d v="2020-09-04T00:00:00"/>
    <n v="27"/>
    <m/>
    <s v="Nelson"/>
    <s v="Store Management"/>
    <s v="Store Manager"/>
    <n v="19"/>
    <s v="F"/>
    <s v="Female"/>
    <x v="0"/>
    <x v="0"/>
    <s v="STORES"/>
  </r>
  <r>
    <x v="2"/>
    <d v="1997-05-01T00:00:00"/>
    <d v="2020-09-14T00:00:00"/>
    <n v="23"/>
    <m/>
    <s v="Kelowna"/>
    <s v="Store Management"/>
    <s v="Store Manager"/>
    <n v="16"/>
    <s v="M"/>
    <s v="Male"/>
    <x v="0"/>
    <x v="0"/>
    <s v="STORES"/>
  </r>
  <r>
    <x v="3"/>
    <d v="2006-09-04T00:00:00"/>
    <d v="2020-05-31T00:00:00"/>
    <n v="14"/>
    <m/>
    <s v="Vancouver"/>
    <s v="Labor Relations"/>
    <s v="Director, Labor Relations"/>
    <n v="35"/>
    <s v="M"/>
    <s v="Male"/>
    <x v="0"/>
    <x v="0"/>
    <s v="HEADOFFICE"/>
  </r>
  <r>
    <x v="4"/>
    <d v="2002-02-16T00:00:00"/>
    <d v="2020-11-06T00:00:00"/>
    <n v="18"/>
    <m/>
    <s v="Victoria"/>
    <s v="Store Management"/>
    <s v="Store Manager"/>
    <n v="37"/>
    <s v="F"/>
    <s v="Female"/>
    <x v="0"/>
    <x v="0"/>
    <s v="STORES"/>
  </r>
  <r>
    <x v="5"/>
    <d v="2009-04-24T00:00:00"/>
    <d v="2020-09-27T00:00:00"/>
    <n v="11"/>
    <m/>
    <s v="Vancouver"/>
    <s v="HR Technology"/>
    <s v="Director, HR Technology"/>
    <n v="35"/>
    <s v="F"/>
    <s v="Female"/>
    <x v="0"/>
    <x v="0"/>
    <s v="HEADOFFICE"/>
  </r>
  <r>
    <x v="6"/>
    <d v="1999-10-21T00:00:00"/>
    <d v="2020-07-23T00:00:00"/>
    <n v="21"/>
    <m/>
    <s v="Vancouver"/>
    <s v="Employee Records"/>
    <s v="Director, Employee Records"/>
    <n v="35"/>
    <s v="F"/>
    <s v="Female"/>
    <x v="0"/>
    <x v="0"/>
    <s v="HEADOFFICE"/>
  </r>
  <r>
    <x v="7"/>
    <d v="1995-03-14T00:00:00"/>
    <d v="2020-03-26T00:00:00"/>
    <n v="25"/>
    <m/>
    <s v="Victoria"/>
    <s v="Meats"/>
    <s v="Meats Manager"/>
    <n v="37"/>
    <s v="M"/>
    <s v="Male"/>
    <x v="0"/>
    <x v="0"/>
    <s v="STORES"/>
  </r>
  <r>
    <x v="8"/>
    <d v="2004-06-19T00:00:00"/>
    <d v="2020-04-09T00:00:00"/>
    <n v="16"/>
    <m/>
    <s v="Vancouver"/>
    <s v="Compensation"/>
    <s v="Director, Compensation"/>
    <n v="35"/>
    <s v="M"/>
    <s v="Male"/>
    <x v="0"/>
    <x v="0"/>
    <s v="HEADOFFICE"/>
  </r>
  <r>
    <x v="9"/>
    <d v="2002-11-23T00:00:00"/>
    <d v="2020-02-25T00:00:00"/>
    <n v="18"/>
    <m/>
    <s v="Vancouver"/>
    <s v="Legal"/>
    <s v="Corporate Lawyer"/>
    <n v="35"/>
    <s v="F"/>
    <s v="Female"/>
    <x v="0"/>
    <x v="0"/>
    <s v="HEADOFFICE"/>
  </r>
  <r>
    <x v="10"/>
    <d v="1996-10-22T00:00:00"/>
    <d v="2020-05-22T00:00:00"/>
    <n v="24"/>
    <m/>
    <s v="Kamloops"/>
    <s v="Store Management"/>
    <s v="Store Manager"/>
    <n v="15"/>
    <s v="M"/>
    <s v="Male"/>
    <x v="0"/>
    <x v="0"/>
    <s v="STORES"/>
  </r>
  <r>
    <x v="11"/>
    <d v="2014-09-24T00:00:00"/>
    <d v="2020-12-22T00:00:00"/>
    <n v="6"/>
    <m/>
    <s v="Vancouver"/>
    <s v="Legal"/>
    <s v="Corporate Lawyer"/>
    <n v="35"/>
    <s v="M"/>
    <s v="Male"/>
    <x v="0"/>
    <x v="0"/>
    <s v="HEADOFFICE"/>
  </r>
  <r>
    <x v="12"/>
    <d v="2004-10-21T00:00:00"/>
    <d v="2020-03-15T00:00:00"/>
    <n v="16"/>
    <m/>
    <s v="Vancouver"/>
    <s v="Legal"/>
    <s v="Corporate Lawyer"/>
    <n v="35"/>
    <s v="M"/>
    <s v="Male"/>
    <x v="0"/>
    <x v="0"/>
    <s v="HEADOFFICE"/>
  </r>
  <r>
    <x v="13"/>
    <d v="1992-07-26T00:00:00"/>
    <d v="2020-03-10T00:00:00"/>
    <n v="28"/>
    <m/>
    <s v="Victoria"/>
    <s v="Produce"/>
    <s v="Produce Manager"/>
    <n v="37"/>
    <s v="M"/>
    <s v="Male"/>
    <x v="0"/>
    <x v="0"/>
    <s v="STORES"/>
  </r>
  <r>
    <x v="14"/>
    <d v="1999-05-27T00:00:00"/>
    <d v="2020-06-23T00:00:00"/>
    <n v="21"/>
    <m/>
    <s v="Nanaimo"/>
    <s v="Meats"/>
    <s v="Meats Manager"/>
    <n v="18"/>
    <s v="F"/>
    <s v="Female"/>
    <x v="0"/>
    <x v="0"/>
    <s v="STORES"/>
  </r>
  <r>
    <x v="15"/>
    <d v="2006-04-10T00:00:00"/>
    <d v="2020-06-04T00:00:00"/>
    <n v="14"/>
    <m/>
    <s v="Vancouver"/>
    <s v="Accounts Receiveable"/>
    <s v="Director, Accounts Receivable"/>
    <n v="35"/>
    <s v="F"/>
    <s v="Female"/>
    <x v="0"/>
    <x v="0"/>
    <s v="HEADOFFICE"/>
  </r>
  <r>
    <x v="16"/>
    <d v="2003-08-22T00:00:00"/>
    <d v="2020-07-17T00:00:00"/>
    <n v="17"/>
    <m/>
    <s v="Kamloops"/>
    <s v="Meats"/>
    <s v="Meats Manager"/>
    <n v="15"/>
    <s v="F"/>
    <s v="Female"/>
    <x v="0"/>
    <x v="0"/>
    <s v="STORES"/>
  </r>
  <r>
    <x v="17"/>
    <d v="2015-01-30T00:00:00"/>
    <d v="2020-08-01T00:00:00"/>
    <n v="5"/>
    <m/>
    <s v="Victoria"/>
    <s v="Bakery"/>
    <s v="Bakery Manager"/>
    <n v="37"/>
    <s v="M"/>
    <s v="Male"/>
    <x v="0"/>
    <x v="0"/>
    <s v="STORES"/>
  </r>
  <r>
    <x v="18"/>
    <d v="2007-08-17T00:00:00"/>
    <d v="2020-08-28T00:00:00"/>
    <n v="13"/>
    <m/>
    <s v="Fort St John"/>
    <s v="Store Management"/>
    <s v="Store Manager"/>
    <n v="12"/>
    <s v="F"/>
    <s v="Female"/>
    <x v="1"/>
    <x v="0"/>
    <s v="STORES"/>
  </r>
  <r>
    <x v="19"/>
    <d v="1995-12-25T00:00:00"/>
    <d v="2020-01-15T00:00:00"/>
    <n v="25"/>
    <m/>
    <s v="Vancouver"/>
    <s v="Information Technology"/>
    <s v="Systems Analyst"/>
    <n v="35"/>
    <s v="M"/>
    <s v="Male"/>
    <x v="0"/>
    <x v="0"/>
    <s v="HEADOFFICE"/>
  </r>
  <r>
    <x v="20"/>
    <d v="1994-06-29T00:00:00"/>
    <d v="2020-08-30T00:00:00"/>
    <n v="26"/>
    <m/>
    <s v="Surrey"/>
    <s v="Store Management"/>
    <s v="Store Manager"/>
    <n v="31"/>
    <s v="M"/>
    <s v="Male"/>
    <x v="0"/>
    <x v="0"/>
    <s v="STORES"/>
  </r>
  <r>
    <x v="21"/>
    <d v="2008-03-02T00:00:00"/>
    <d v="2020-09-19T00:00:00"/>
    <n v="12"/>
    <m/>
    <s v="Vancouver"/>
    <s v="Accounts Payable"/>
    <s v="Director, Accounts Payable"/>
    <n v="35"/>
    <s v="F"/>
    <s v="Female"/>
    <x v="0"/>
    <x v="0"/>
    <s v="HEADOFFICE"/>
  </r>
  <r>
    <x v="22"/>
    <d v="2007-05-14T00:00:00"/>
    <d v="2020-08-11T00:00:00"/>
    <n v="13"/>
    <m/>
    <s v="Vancouver"/>
    <s v="Audit"/>
    <s v="Director, Audit"/>
    <n v="35"/>
    <s v="M"/>
    <s v="Male"/>
    <x v="0"/>
    <x v="0"/>
    <s v="HEADOFFICE"/>
  </r>
  <r>
    <x v="23"/>
    <d v="2006-07-14T00:00:00"/>
    <d v="2020-05-09T00:00:00"/>
    <n v="14"/>
    <m/>
    <s v="Vancouver"/>
    <s v="Accounting"/>
    <s v="Director, Accounting"/>
    <n v="35"/>
    <s v="F"/>
    <s v="Female"/>
    <x v="0"/>
    <x v="0"/>
    <s v="HEADOFFICE"/>
  </r>
  <r>
    <x v="24"/>
    <d v="2007-05-31T00:00:00"/>
    <d v="2020-04-20T00:00:00"/>
    <n v="13"/>
    <m/>
    <s v="Kelowna"/>
    <s v="Meats"/>
    <s v="Meats Manager"/>
    <n v="16"/>
    <s v="M"/>
    <s v="Male"/>
    <x v="0"/>
    <x v="0"/>
    <s v="STORES"/>
  </r>
  <r>
    <x v="25"/>
    <d v="1990-06-05T00:00:00"/>
    <d v="2020-08-05T00:00:00"/>
    <n v="30"/>
    <m/>
    <s v="Vancouver"/>
    <s v="Investment"/>
    <s v="Director, Investments"/>
    <n v="35"/>
    <s v="M"/>
    <s v="Male"/>
    <x v="0"/>
    <x v="0"/>
    <s v="HEADOFFICE"/>
  </r>
  <r>
    <x v="26"/>
    <d v="1996-03-14T00:00:00"/>
    <d v="2020-05-27T00:00:00"/>
    <n v="24"/>
    <m/>
    <s v="Victoria"/>
    <s v="Dairy"/>
    <s v="Dairy Person"/>
    <n v="37"/>
    <s v="F"/>
    <s v="Female"/>
    <x v="0"/>
    <x v="0"/>
    <s v="STORES"/>
  </r>
  <r>
    <x v="27"/>
    <d v="1990-12-28T00:00:00"/>
    <d v="2020-03-31T00:00:00"/>
    <n v="30"/>
    <m/>
    <s v="Vancouver"/>
    <s v="Recruitment"/>
    <s v="Recruiter"/>
    <n v="35"/>
    <s v="F"/>
    <s v="Female"/>
    <x v="0"/>
    <x v="0"/>
    <s v="HEADOFFICE"/>
  </r>
  <r>
    <x v="28"/>
    <d v="2005-06-16T00:00:00"/>
    <d v="2020-03-05T00:00:00"/>
    <n v="15"/>
    <m/>
    <s v="Vancouver"/>
    <s v="Recruitment"/>
    <s v="Recruiter"/>
    <n v="35"/>
    <s v="F"/>
    <s v="Female"/>
    <x v="0"/>
    <x v="0"/>
    <s v="HEADOFFICE"/>
  </r>
  <r>
    <x v="29"/>
    <d v="2000-01-29T00:00:00"/>
    <d v="2020-06-11T00:00:00"/>
    <n v="20"/>
    <m/>
    <s v="Vancouver"/>
    <s v="Recruitment"/>
    <s v="Recruiter"/>
    <n v="35"/>
    <s v="F"/>
    <s v="Female"/>
    <x v="0"/>
    <x v="0"/>
    <s v="HEADOFFICE"/>
  </r>
  <r>
    <x v="30"/>
    <d v="2008-01-18T00:00:00"/>
    <d v="2020-08-23T00:00:00"/>
    <n v="12"/>
    <m/>
    <s v="Vernon"/>
    <s v="Store Management"/>
    <s v="Store Manager"/>
    <n v="36"/>
    <s v="M"/>
    <s v="Male"/>
    <x v="0"/>
    <x v="0"/>
    <s v="STORES"/>
  </r>
  <r>
    <x v="31"/>
    <d v="1994-04-23T00:00:00"/>
    <d v="2020-04-08T00:00:00"/>
    <n v="26"/>
    <m/>
    <s v="Vancouver"/>
    <s v="Recruitment"/>
    <s v="Recruiter"/>
    <n v="35"/>
    <s v="M"/>
    <s v="Male"/>
    <x v="0"/>
    <x v="0"/>
    <s v="HEADOFFICE"/>
  </r>
  <r>
    <x v="32"/>
    <d v="2008-03-02T00:00:00"/>
    <d v="2020-01-17T00:00:00"/>
    <n v="12"/>
    <m/>
    <s v="Victoria"/>
    <s v="Processed Foods"/>
    <s v="Processed Foods Manager"/>
    <n v="37"/>
    <s v="M"/>
    <s v="Male"/>
    <x v="0"/>
    <x v="0"/>
    <s v="STORES"/>
  </r>
  <r>
    <x v="33"/>
    <d v="2003-05-11T00:00:00"/>
    <d v="2020-08-10T00:00:00"/>
    <n v="17"/>
    <m/>
    <s v="Nanaimo"/>
    <s v="Produce"/>
    <s v="Produce Manager"/>
    <n v="18"/>
    <s v="M"/>
    <s v="Male"/>
    <x v="0"/>
    <x v="0"/>
    <s v="STORES"/>
  </r>
  <r>
    <x v="34"/>
    <d v="1999-07-02T00:00:00"/>
    <d v="2020-10-13T00:00:00"/>
    <n v="21"/>
    <m/>
    <s v="Quesnel"/>
    <s v="Store Management"/>
    <s v="Store Manager"/>
    <n v="28"/>
    <s v="M"/>
    <s v="Male"/>
    <x v="0"/>
    <x v="0"/>
    <s v="STORES"/>
  </r>
  <r>
    <x v="35"/>
    <d v="1992-09-26T00:00:00"/>
    <d v="2020-12-20T00:00:00"/>
    <n v="28"/>
    <m/>
    <s v="Vancouver"/>
    <s v="Recruitment"/>
    <s v="Recruiter"/>
    <n v="35"/>
    <s v="F"/>
    <s v="Female"/>
    <x v="0"/>
    <x v="0"/>
    <s v="HEADOFFICE"/>
  </r>
  <r>
    <x v="36"/>
    <d v="2010-12-03T00:00:00"/>
    <d v="2020-09-15T00:00:00"/>
    <n v="10"/>
    <m/>
    <s v="Chilliwack"/>
    <s v="Store Management"/>
    <s v="Store Manager"/>
    <n v="6"/>
    <s v="M"/>
    <s v="Male"/>
    <x v="0"/>
    <x v="0"/>
    <s v="STORES"/>
  </r>
  <r>
    <x v="37"/>
    <d v="2001-08-25T00:00:00"/>
    <d v="2020-09-02T00:00:00"/>
    <n v="19"/>
    <m/>
    <s v="Vancouver"/>
    <s v="Recruitment"/>
    <s v="Recruiter"/>
    <n v="35"/>
    <s v="M"/>
    <s v="Male"/>
    <x v="0"/>
    <x v="0"/>
    <s v="HEADOFFICE"/>
  </r>
  <r>
    <x v="38"/>
    <d v="1991-07-05T00:00:00"/>
    <d v="2020-10-17T00:00:00"/>
    <n v="29"/>
    <m/>
    <s v="Victoria"/>
    <s v="Customer Service"/>
    <s v="Customer Service Manager"/>
    <n v="37"/>
    <s v="F"/>
    <s v="Female"/>
    <x v="0"/>
    <x v="0"/>
    <s v="STORES"/>
  </r>
  <r>
    <x v="39"/>
    <d v="2015-05-07T00:00:00"/>
    <d v="2020-05-10T00:00:00"/>
    <n v="5"/>
    <m/>
    <s v="Vancouver"/>
    <s v="Recruitment"/>
    <s v="Recruiter"/>
    <n v="35"/>
    <s v="F"/>
    <s v="Female"/>
    <x v="0"/>
    <x v="0"/>
    <s v="HEADOFFICE"/>
  </r>
  <r>
    <x v="40"/>
    <d v="2013-03-26T00:00:00"/>
    <d v="2020-06-30T00:00:00"/>
    <n v="7"/>
    <m/>
    <s v="Vernon"/>
    <s v="Meats"/>
    <s v="Meats Manager"/>
    <n v="36"/>
    <s v="M"/>
    <s v="Male"/>
    <x v="0"/>
    <x v="0"/>
    <s v="STORES"/>
  </r>
  <r>
    <x v="41"/>
    <d v="2007-10-24T00:00:00"/>
    <d v="2020-04-27T00:00:00"/>
    <n v="13"/>
    <m/>
    <s v="Quesnel"/>
    <s v="Meats"/>
    <s v="Meats Manager"/>
    <n v="28"/>
    <s v="F"/>
    <s v="Female"/>
    <x v="0"/>
    <x v="0"/>
    <s v="STORES"/>
  </r>
  <r>
    <x v="42"/>
    <d v="1998-02-24T00:00:00"/>
    <d v="2020-08-18T00:00:00"/>
    <n v="22"/>
    <m/>
    <s v="Terrace"/>
    <s v="Produce"/>
    <s v="Produce Manager"/>
    <n v="32"/>
    <s v="F"/>
    <s v="Female"/>
    <x v="0"/>
    <x v="0"/>
    <s v="STORES"/>
  </r>
  <r>
    <x v="43"/>
    <d v="2004-10-02T00:00:00"/>
    <d v="2020-05-17T00:00:00"/>
    <n v="16"/>
    <m/>
    <s v="Vancouver"/>
    <s v="Recruitment"/>
    <s v="Recruiter"/>
    <n v="35"/>
    <s v="F"/>
    <s v="Female"/>
    <x v="0"/>
    <x v="0"/>
    <s v="HEADOFFICE"/>
  </r>
  <r>
    <x v="44"/>
    <d v="2005-01-30T00:00:00"/>
    <d v="2020-07-30T00:00:00"/>
    <n v="15"/>
    <m/>
    <s v="Dawson Creek"/>
    <s v="Store Management"/>
    <s v="Store Manager"/>
    <n v="9"/>
    <s v="F"/>
    <s v="Female"/>
    <x v="0"/>
    <x v="0"/>
    <s v="STORES"/>
  </r>
  <r>
    <x v="45"/>
    <d v="2000-06-22T00:00:00"/>
    <d v="2020-01-09T00:00:00"/>
    <n v="20"/>
    <m/>
    <s v="Vancouver"/>
    <s v="Training"/>
    <s v="Trainer"/>
    <n v="35"/>
    <s v="F"/>
    <s v="Female"/>
    <x v="0"/>
    <x v="0"/>
    <s v="HEADOFFICE"/>
  </r>
  <r>
    <x v="46"/>
    <d v="2009-02-10T00:00:00"/>
    <d v="2020-03-20T00:00:00"/>
    <n v="11"/>
    <m/>
    <s v="Kelowna"/>
    <s v="Produce"/>
    <s v="Produce Manager"/>
    <n v="16"/>
    <s v="M"/>
    <s v="Male"/>
    <x v="0"/>
    <x v="0"/>
    <s v="STORES"/>
  </r>
  <r>
    <x v="47"/>
    <d v="1990-05-23T00:00:00"/>
    <d v="2020-04-17T00:00:00"/>
    <n v="30"/>
    <m/>
    <s v="Vancouver"/>
    <s v="Training"/>
    <s v="Trainer"/>
    <n v="35"/>
    <s v="F"/>
    <s v="Female"/>
    <x v="0"/>
    <x v="0"/>
    <s v="HEADOFFICE"/>
  </r>
  <r>
    <x v="48"/>
    <d v="2008-08-19T00:00:00"/>
    <d v="2020-07-07T00:00:00"/>
    <n v="12"/>
    <m/>
    <s v="Vancouver"/>
    <s v="Training"/>
    <s v="Trainer"/>
    <n v="35"/>
    <s v="M"/>
    <s v="Male"/>
    <x v="0"/>
    <x v="0"/>
    <s v="HEADOFFICE"/>
  </r>
  <r>
    <x v="49"/>
    <d v="2001-12-13T00:00:00"/>
    <d v="2020-03-25T00:00:00"/>
    <n v="19"/>
    <m/>
    <s v="Vancouver"/>
    <s v="Training"/>
    <s v="Trainer"/>
    <n v="35"/>
    <s v="M"/>
    <s v="Male"/>
    <x v="0"/>
    <x v="0"/>
    <s v="HEADOFFICE"/>
  </r>
  <r>
    <x v="50"/>
    <d v="2012-09-11T00:00:00"/>
    <d v="2020-01-16T00:00:00"/>
    <n v="8"/>
    <m/>
    <s v="Nanaimo"/>
    <s v="Bakery"/>
    <s v="Bakery Manager"/>
    <n v="18"/>
    <s v="F"/>
    <s v="Female"/>
    <x v="0"/>
    <x v="0"/>
    <s v="STORES"/>
  </r>
  <r>
    <x v="51"/>
    <d v="2002-10-08T00:00:00"/>
    <d v="2020-07-21T00:00:00"/>
    <n v="18"/>
    <m/>
    <s v="Vancouver"/>
    <s v="Information Technology"/>
    <s v="Systems Analyst"/>
    <n v="35"/>
    <s v="M"/>
    <s v="Male"/>
    <x v="0"/>
    <x v="0"/>
    <s v="HEADOFFICE"/>
  </r>
  <r>
    <x v="52"/>
    <d v="2001-02-01T00:00:00"/>
    <d v="2020-01-06T00:00:00"/>
    <n v="19"/>
    <m/>
    <s v="Dawson Creek"/>
    <s v="Meats"/>
    <s v="Meat Cutter"/>
    <n v="9"/>
    <s v="F"/>
    <s v="Female"/>
    <x v="0"/>
    <x v="0"/>
    <s v="STORES"/>
  </r>
  <r>
    <x v="53"/>
    <d v="1998-06-24T00:00:00"/>
    <d v="2020-12-18T00:00:00"/>
    <n v="22"/>
    <m/>
    <s v="Vancouver"/>
    <s v="Information Technology"/>
    <s v="Systems Analyst"/>
    <n v="35"/>
    <s v="M"/>
    <s v="Male"/>
    <x v="0"/>
    <x v="0"/>
    <s v="HEADOFFICE"/>
  </r>
  <r>
    <x v="54"/>
    <d v="1990-01-27T00:00:00"/>
    <d v="2020-05-21T00:00:00"/>
    <n v="30"/>
    <m/>
    <s v="Vancouver"/>
    <s v="Information Technology"/>
    <s v="Systems Analyst"/>
    <n v="35"/>
    <s v="M"/>
    <s v="Male"/>
    <x v="0"/>
    <x v="0"/>
    <s v="HEADOFFICE"/>
  </r>
  <r>
    <x v="55"/>
    <d v="1999-09-16T00:00:00"/>
    <d v="2020-12-03T00:00:00"/>
    <n v="21"/>
    <m/>
    <s v="Vancouver"/>
    <s v="Information Technology"/>
    <s v="Systems Analyst"/>
    <n v="35"/>
    <s v="M"/>
    <s v="Male"/>
    <x v="0"/>
    <x v="0"/>
    <s v="HEADOFFICE"/>
  </r>
  <r>
    <x v="56"/>
    <d v="2010-04-29T00:00:00"/>
    <d v="2020-03-09T00:00:00"/>
    <n v="10"/>
    <m/>
    <s v="Squamish"/>
    <s v="Store Management"/>
    <s v="Store Manager"/>
    <n v="30"/>
    <s v="F"/>
    <s v="Female"/>
    <x v="0"/>
    <x v="0"/>
    <s v="STORES"/>
  </r>
  <r>
    <x v="57"/>
    <d v="1998-01-08T00:00:00"/>
    <d v="2020-04-13T00:00:00"/>
    <n v="22"/>
    <m/>
    <s v="New Westminster"/>
    <s v="Store Management"/>
    <s v="Store Manager"/>
    <n v="21"/>
    <s v="F"/>
    <s v="Female"/>
    <x v="0"/>
    <x v="0"/>
    <s v="STORES"/>
  </r>
  <r>
    <x v="58"/>
    <d v="2015-06-22T00:00:00"/>
    <d v="2020-11-29T00:00:00"/>
    <n v="5"/>
    <m/>
    <s v="Victoria"/>
    <s v="Store Management"/>
    <s v="Store Manager"/>
    <n v="46"/>
    <s v="M"/>
    <s v="Male"/>
    <x v="0"/>
    <x v="0"/>
    <s v="STORES"/>
  </r>
  <r>
    <x v="59"/>
    <d v="2012-11-12T00:00:00"/>
    <d v="2020-11-22T00:00:00"/>
    <n v="8"/>
    <m/>
    <s v="Vancouver"/>
    <s v="Dairy"/>
    <s v="Dairy Person"/>
    <n v="35"/>
    <s v="M"/>
    <s v="Male"/>
    <x v="0"/>
    <x v="0"/>
    <s v="STORES"/>
  </r>
  <r>
    <x v="60"/>
    <d v="2001-11-11T00:00:00"/>
    <d v="2020-08-05T00:00:00"/>
    <n v="19"/>
    <m/>
    <s v="Vancouver"/>
    <s v="Dairy"/>
    <s v="Dairy Person"/>
    <n v="35"/>
    <s v="M"/>
    <s v="Male"/>
    <x v="0"/>
    <x v="0"/>
    <s v="STORES"/>
  </r>
  <r>
    <x v="61"/>
    <d v="2010-02-13T00:00:00"/>
    <d v="2020-02-26T00:00:00"/>
    <n v="10"/>
    <m/>
    <s v="Surrey"/>
    <s v="Meats"/>
    <s v="Meats Manager"/>
    <n v="31"/>
    <s v="F"/>
    <s v="Female"/>
    <x v="0"/>
    <x v="0"/>
    <s v="STORES"/>
  </r>
  <r>
    <x v="62"/>
    <d v="2000-05-20T00:00:00"/>
    <d v="2020-10-07T00:00:00"/>
    <n v="20"/>
    <m/>
    <s v="Victoria"/>
    <s v="Meats"/>
    <s v="Meats Manager"/>
    <n v="46"/>
    <s v="M"/>
    <s v="Male"/>
    <x v="0"/>
    <x v="0"/>
    <s v="STORES"/>
  </r>
  <r>
    <x v="63"/>
    <d v="2013-07-14T00:00:00"/>
    <d v="2020-09-30T00:00:00"/>
    <n v="7"/>
    <m/>
    <s v="Vancouver"/>
    <s v="Dairy"/>
    <s v="Dairy Person"/>
    <n v="35"/>
    <s v="M"/>
    <s v="Male"/>
    <x v="0"/>
    <x v="0"/>
    <s v="STORES"/>
  </r>
  <r>
    <x v="64"/>
    <d v="2002-06-16T00:00:00"/>
    <d v="2020-10-28T00:00:00"/>
    <n v="18"/>
    <m/>
    <s v="Victoria"/>
    <s v="Produce"/>
    <s v="Produce Manager"/>
    <n v="46"/>
    <s v="M"/>
    <s v="Male"/>
    <x v="0"/>
    <x v="0"/>
    <s v="STORES"/>
  </r>
  <r>
    <x v="65"/>
    <d v="2009-11-28T00:00:00"/>
    <d v="2020-12-12T00:00:00"/>
    <n v="11"/>
    <m/>
    <s v="Victoria"/>
    <s v="Bakery"/>
    <s v="Bakery Manager"/>
    <n v="46"/>
    <s v="F"/>
    <s v="Female"/>
    <x v="0"/>
    <x v="0"/>
    <s v="STORES"/>
  </r>
  <r>
    <x v="66"/>
    <d v="1998-04-01T00:00:00"/>
    <d v="2020-04-16T00:00:00"/>
    <n v="22"/>
    <m/>
    <s v="Kamloops"/>
    <s v="Produce"/>
    <s v="Produce Manager"/>
    <n v="15"/>
    <s v="M"/>
    <s v="Male"/>
    <x v="0"/>
    <x v="0"/>
    <s v="STORES"/>
  </r>
  <r>
    <x v="67"/>
    <d v="2000-09-18T00:00:00"/>
    <d v="2020-05-24T00:00:00"/>
    <n v="20"/>
    <m/>
    <s v="Port Coquitlam"/>
    <s v="Store Management"/>
    <s v="Store Manager"/>
    <n v="25"/>
    <s v="M"/>
    <s v="Male"/>
    <x v="0"/>
    <x v="0"/>
    <s v="STORES"/>
  </r>
  <r>
    <x v="68"/>
    <d v="2001-07-28T00:00:00"/>
    <d v="2020-12-30T00:00:00"/>
    <n v="19"/>
    <m/>
    <s v="Terrace"/>
    <s v="Bakery"/>
    <s v="Bakery Manager"/>
    <n v="32"/>
    <s v="F"/>
    <s v="Female"/>
    <x v="0"/>
    <x v="0"/>
    <s v="STORES"/>
  </r>
  <r>
    <x v="69"/>
    <d v="2009-03-02T00:00:00"/>
    <d v="2020-11-25T00:00:00"/>
    <n v="11"/>
    <m/>
    <s v="Cortes Island"/>
    <s v="Dairy"/>
    <s v="Dairy Person"/>
    <n v="7"/>
    <s v="M"/>
    <s v="Male"/>
    <x v="0"/>
    <x v="0"/>
    <s v="STORES"/>
  </r>
  <r>
    <x v="70"/>
    <d v="1995-06-12T00:00:00"/>
    <d v="2020-02-22T00:00:00"/>
    <n v="25"/>
    <m/>
    <s v="Burnaby"/>
    <s v="Store Management"/>
    <s v="Store Manager"/>
    <n v="5"/>
    <s v="M"/>
    <s v="Male"/>
    <x v="0"/>
    <x v="0"/>
    <s v="STORES"/>
  </r>
  <r>
    <x v="71"/>
    <d v="2015-02-09T00:00:00"/>
    <d v="2020-04-16T00:00:00"/>
    <n v="5"/>
    <m/>
    <s v="Victoria"/>
    <s v="Dairy"/>
    <s v="Dairy Person"/>
    <n v="46"/>
    <s v="M"/>
    <s v="Male"/>
    <x v="0"/>
    <x v="0"/>
    <s v="STORES"/>
  </r>
  <r>
    <x v="72"/>
    <d v="1991-06-20T00:00:00"/>
    <d v="2020-05-29T00:00:00"/>
    <n v="29"/>
    <m/>
    <s v="Vancouver"/>
    <s v="Labor Relations"/>
    <s v="Labor Relations Analyst"/>
    <n v="35"/>
    <s v="F"/>
    <s v="Female"/>
    <x v="0"/>
    <x v="0"/>
    <s v="HEADOFFICE"/>
  </r>
  <r>
    <x v="73"/>
    <d v="1992-04-21T00:00:00"/>
    <d v="2020-09-20T00:00:00"/>
    <n v="28"/>
    <m/>
    <s v="Surrey"/>
    <s v="Produce"/>
    <s v="Produce Manager"/>
    <n v="31"/>
    <s v="F"/>
    <s v="Female"/>
    <x v="0"/>
    <x v="0"/>
    <s v="STORES"/>
  </r>
  <r>
    <x v="74"/>
    <d v="2005-02-03T00:00:00"/>
    <d v="2020-08-17T00:00:00"/>
    <n v="15"/>
    <m/>
    <s v="Kelowna"/>
    <s v="Bakery"/>
    <s v="Bakery Manager"/>
    <n v="16"/>
    <s v="F"/>
    <s v="Female"/>
    <x v="0"/>
    <x v="0"/>
    <s v="STORES"/>
  </r>
  <r>
    <x v="75"/>
    <d v="1999-02-07T00:00:00"/>
    <d v="2020-06-28T00:00:00"/>
    <n v="21"/>
    <m/>
    <s v="Vernon"/>
    <s v="Produce"/>
    <s v="Produce Manager"/>
    <n v="36"/>
    <s v="M"/>
    <s v="Male"/>
    <x v="0"/>
    <x v="0"/>
    <s v="STORES"/>
  </r>
  <r>
    <x v="76"/>
    <d v="2006-07-25T00:00:00"/>
    <d v="2020-09-08T00:00:00"/>
    <n v="14"/>
    <m/>
    <s v="Vernon"/>
    <s v="Bakery"/>
    <s v="Bakery Manager"/>
    <n v="36"/>
    <s v="F"/>
    <s v="Female"/>
    <x v="0"/>
    <x v="0"/>
    <s v="STORES"/>
  </r>
  <r>
    <x v="77"/>
    <d v="2003-03-12T00:00:00"/>
    <d v="2020-08-21T00:00:00"/>
    <n v="17"/>
    <m/>
    <s v="Vancouver"/>
    <s v="Labor Relations"/>
    <s v="Labor Relations Analyst"/>
    <n v="35"/>
    <s v="M"/>
    <s v="Male"/>
    <x v="0"/>
    <x v="0"/>
    <s v="HEADOFFICE"/>
  </r>
  <r>
    <x v="78"/>
    <d v="2005-09-18T00:00:00"/>
    <d v="2020-07-11T00:00:00"/>
    <n v="15"/>
    <m/>
    <s v="Vancouver"/>
    <s v="Labor Relations"/>
    <s v="Labor Relations Analyst"/>
    <n v="35"/>
    <s v="M"/>
    <s v="Male"/>
    <x v="0"/>
    <x v="0"/>
    <s v="HEADOFFICE"/>
  </r>
  <r>
    <x v="79"/>
    <d v="1998-01-06T00:00:00"/>
    <d v="2020-10-29T00:00:00"/>
    <n v="22"/>
    <m/>
    <s v="Squamish"/>
    <s v="Meats"/>
    <s v="Meats Manager"/>
    <n v="30"/>
    <s v="F"/>
    <s v="Female"/>
    <x v="0"/>
    <x v="0"/>
    <s v="STORES"/>
  </r>
  <r>
    <x v="80"/>
    <d v="2008-02-29T00:00:00"/>
    <d v="2020-08-21T00:00:00"/>
    <n v="12"/>
    <m/>
    <s v="Kelowna"/>
    <s v="Dairy"/>
    <s v="Dairy Person"/>
    <n v="16"/>
    <s v="M"/>
    <s v="Male"/>
    <x v="0"/>
    <x v="0"/>
    <s v="STORES"/>
  </r>
  <r>
    <x v="81"/>
    <d v="2010-07-06T00:00:00"/>
    <d v="2020-04-29T00:00:00"/>
    <n v="10"/>
    <m/>
    <s v="Nanaimo"/>
    <s v="Dairy"/>
    <s v="Dairy Manager"/>
    <n v="18"/>
    <s v="F"/>
    <s v="Female"/>
    <x v="0"/>
    <x v="0"/>
    <s v="STORES"/>
  </r>
  <r>
    <x v="82"/>
    <d v="2000-06-20T00:00:00"/>
    <d v="2020-11-01T00:00:00"/>
    <n v="20"/>
    <m/>
    <s v="Vancouver"/>
    <s v="Labor Relations"/>
    <s v="Labor Relations Analyst"/>
    <n v="35"/>
    <s v="M"/>
    <s v="Male"/>
    <x v="0"/>
    <x v="0"/>
    <s v="HEADOFFICE"/>
  </r>
  <r>
    <x v="83"/>
    <d v="2004-05-31T00:00:00"/>
    <d v="2020-07-26T00:00:00"/>
    <n v="16"/>
    <m/>
    <s v="Kamloops"/>
    <s v="Dairy"/>
    <s v="Dairy Person"/>
    <n v="15"/>
    <s v="M"/>
    <s v="Male"/>
    <x v="0"/>
    <x v="0"/>
    <s v="STORES"/>
  </r>
  <r>
    <x v="84"/>
    <d v="2000-04-15T00:00:00"/>
    <d v="2020-04-27T00:00:00"/>
    <n v="20"/>
    <m/>
    <s v="Vancouver"/>
    <s v="Labor Relations"/>
    <s v="Labor Relations Analyst"/>
    <n v="35"/>
    <s v="F"/>
    <s v="Female"/>
    <x v="0"/>
    <x v="0"/>
    <s v="HEADOFFICE"/>
  </r>
  <r>
    <x v="85"/>
    <d v="2006-08-19T00:00:00"/>
    <d v="2020-02-15T00:00:00"/>
    <n v="14"/>
    <m/>
    <s v="Vancouver"/>
    <s v="HR Technology"/>
    <s v="HRIS Analyst"/>
    <n v="35"/>
    <s v="F"/>
    <s v="Female"/>
    <x v="0"/>
    <x v="0"/>
    <s v="HEADOFFICE"/>
  </r>
  <r>
    <x v="86"/>
    <d v="1990-10-02T00:00:00"/>
    <d v="2020-10-07T00:00:00"/>
    <n v="30"/>
    <m/>
    <s v="Kelowna"/>
    <s v="Processed Foods"/>
    <s v="Processed Foods Manager"/>
    <n v="16"/>
    <s v="F"/>
    <s v="Female"/>
    <x v="0"/>
    <x v="0"/>
    <s v="STORES"/>
  </r>
  <r>
    <x v="87"/>
    <d v="2009-04-23T00:00:00"/>
    <d v="2020-05-03T00:00:00"/>
    <n v="11"/>
    <m/>
    <s v="Kamloops"/>
    <s v="Bakery"/>
    <s v="Bakery Manager"/>
    <n v="15"/>
    <s v="M"/>
    <s v="Male"/>
    <x v="0"/>
    <x v="0"/>
    <s v="STORES"/>
  </r>
  <r>
    <x v="88"/>
    <d v="1993-09-01T00:00:00"/>
    <d v="2020-05-21T00:00:00"/>
    <n v="27"/>
    <m/>
    <s v="Vancouver"/>
    <s v="HR Technology"/>
    <s v="HRIS Analyst"/>
    <n v="35"/>
    <s v="M"/>
    <s v="Male"/>
    <x v="0"/>
    <x v="0"/>
    <s v="HEADOFFICE"/>
  </r>
  <r>
    <x v="89"/>
    <d v="1992-10-10T00:00:00"/>
    <d v="2020-03-22T00:00:00"/>
    <n v="28"/>
    <m/>
    <s v="Vancouver"/>
    <s v="HR Technology"/>
    <s v="HRIS Analyst"/>
    <n v="35"/>
    <s v="F"/>
    <s v="Female"/>
    <x v="0"/>
    <x v="0"/>
    <s v="HEADOFFICE"/>
  </r>
  <r>
    <x v="90"/>
    <d v="1998-06-17T00:00:00"/>
    <d v="2020-02-02T00:00:00"/>
    <n v="22"/>
    <m/>
    <s v="Fort St John"/>
    <s v="Meats"/>
    <s v="Meats Manager"/>
    <n v="12"/>
    <s v="F"/>
    <s v="Female"/>
    <x v="0"/>
    <x v="0"/>
    <s v="STORES"/>
  </r>
  <r>
    <x v="91"/>
    <d v="1999-09-24T00:00:00"/>
    <d v="2020-03-19T00:00:00"/>
    <n v="21"/>
    <m/>
    <s v="Vancouver"/>
    <s v="HR Technology"/>
    <s v="HRIS Analyst"/>
    <n v="35"/>
    <s v="F"/>
    <s v="Female"/>
    <x v="0"/>
    <x v="0"/>
    <s v="HEADOFFICE"/>
  </r>
  <r>
    <x v="92"/>
    <d v="1990-10-03T00:00:00"/>
    <d v="2020-11-09T00:00:00"/>
    <n v="30"/>
    <m/>
    <s v="Bella Bella"/>
    <s v="Store Management"/>
    <s v="Store Manager"/>
    <n v="3"/>
    <s v="M"/>
    <s v="Male"/>
    <x v="0"/>
    <x v="0"/>
    <s v="STORES"/>
  </r>
  <r>
    <x v="93"/>
    <d v="2011-10-13T00:00:00"/>
    <d v="2020-10-09T00:00:00"/>
    <n v="9"/>
    <m/>
    <s v="Vancouver"/>
    <s v="HR Technology"/>
    <s v="HRIS Analyst"/>
    <n v="35"/>
    <s v="F"/>
    <s v="Female"/>
    <x v="0"/>
    <x v="0"/>
    <s v="HEADOFFICE"/>
  </r>
  <r>
    <x v="94"/>
    <d v="2010-11-08T00:00:00"/>
    <d v="2020-11-23T00:00:00"/>
    <n v="10"/>
    <m/>
    <s v="Cranbrook"/>
    <s v="Store Management"/>
    <s v="Store Manager"/>
    <n v="8"/>
    <s v="F"/>
    <s v="Female"/>
    <x v="0"/>
    <x v="0"/>
    <s v="STORES"/>
  </r>
  <r>
    <x v="95"/>
    <d v="2013-04-08T00:00:00"/>
    <d v="2020-08-29T00:00:00"/>
    <n v="7"/>
    <m/>
    <s v="Quesnel"/>
    <s v="Produce"/>
    <s v="Produce Manager"/>
    <n v="28"/>
    <s v="M"/>
    <s v="Male"/>
    <x v="0"/>
    <x v="0"/>
    <s v="STORES"/>
  </r>
  <r>
    <x v="96"/>
    <d v="1998-10-03T00:00:00"/>
    <d v="2020-07-19T00:00:00"/>
    <n v="22"/>
    <m/>
    <s v="Williams Lake"/>
    <s v="Meats"/>
    <s v="Meats Manager"/>
    <n v="40"/>
    <s v="F"/>
    <s v="Female"/>
    <x v="0"/>
    <x v="0"/>
    <s v="STORES"/>
  </r>
  <r>
    <x v="97"/>
    <d v="2004-03-10T00:00:00"/>
    <d v="2020-09-02T00:00:00"/>
    <n v="16"/>
    <m/>
    <s v="Vancouver"/>
    <s v="HR Technology"/>
    <s v="HRIS Analyst"/>
    <n v="35"/>
    <s v="M"/>
    <s v="Male"/>
    <x v="1"/>
    <x v="0"/>
    <s v="HEADOFFICE"/>
  </r>
  <r>
    <x v="98"/>
    <d v="2004-11-11T00:00:00"/>
    <d v="2020-10-01T00:00:00"/>
    <n v="16"/>
    <m/>
    <s v="Vancouver"/>
    <s v="HR Technology"/>
    <s v="HRIS Analyst"/>
    <n v="35"/>
    <s v="F"/>
    <s v="Female"/>
    <x v="0"/>
    <x v="0"/>
    <s v="HEADOFFICE"/>
  </r>
  <r>
    <x v="99"/>
    <d v="1999-07-17T00:00:00"/>
    <d v="2020-01-17T00:00:00"/>
    <n v="21"/>
    <m/>
    <s v="Vancouver"/>
    <s v="Employee Records"/>
    <s v="Benefits Admin"/>
    <n v="35"/>
    <s v="M"/>
    <s v="Male"/>
    <x v="0"/>
    <x v="0"/>
    <s v="HEADOFFICE"/>
  </r>
  <r>
    <x v="100"/>
    <d v="2008-06-15T00:00:00"/>
    <d v="2020-04-01T00:00:00"/>
    <n v="12"/>
    <m/>
    <s v="Vancouver"/>
    <s v="HR Technology"/>
    <s v="HRIS Analyst"/>
    <n v="35"/>
    <s v="M"/>
    <s v="Male"/>
    <x v="0"/>
    <x v="0"/>
    <s v="HEADOFFICE"/>
  </r>
  <r>
    <x v="101"/>
    <d v="1991-08-19T00:00:00"/>
    <d v="2020-12-06T00:00:00"/>
    <n v="29"/>
    <m/>
    <s v="Vancouver"/>
    <s v="Employee Records"/>
    <s v="Benefits Admin"/>
    <n v="35"/>
    <s v="M"/>
    <s v="Male"/>
    <x v="0"/>
    <x v="0"/>
    <s v="HEADOFFICE"/>
  </r>
  <r>
    <x v="102"/>
    <d v="1999-06-21T00:00:00"/>
    <d v="2020-07-31T00:00:00"/>
    <n v="21"/>
    <m/>
    <s v="Victoria"/>
    <s v="Processed Foods"/>
    <s v="Processed Foods Manager"/>
    <n v="46"/>
    <s v="F"/>
    <s v="Female"/>
    <x v="0"/>
    <x v="0"/>
    <s v="STORES"/>
  </r>
  <r>
    <x v="103"/>
    <d v="2000-01-01T00:00:00"/>
    <d v="2020-02-05T00:00:00"/>
    <n v="20"/>
    <m/>
    <s v="Vernon"/>
    <s v="Dairy"/>
    <s v="Dairy Person"/>
    <n v="36"/>
    <s v="F"/>
    <s v="Female"/>
    <x v="0"/>
    <x v="0"/>
    <s v="STORES"/>
  </r>
  <r>
    <x v="104"/>
    <d v="1992-05-16T00:00:00"/>
    <d v="2020-09-06T00:00:00"/>
    <n v="28"/>
    <m/>
    <s v="Trail"/>
    <s v="Store Management"/>
    <s v="Store Manager"/>
    <n v="33"/>
    <s v="F"/>
    <s v="Female"/>
    <x v="0"/>
    <x v="0"/>
    <s v="STORES"/>
  </r>
  <r>
    <x v="105"/>
    <d v="2008-10-20T00:00:00"/>
    <d v="2020-07-08T00:00:00"/>
    <n v="12"/>
    <m/>
    <s v="Victoria"/>
    <s v="Customer Service"/>
    <s v="Customer Service Manager"/>
    <n v="46"/>
    <s v="F"/>
    <s v="Female"/>
    <x v="0"/>
    <x v="0"/>
    <s v="STORES"/>
  </r>
  <r>
    <x v="106"/>
    <d v="2006-02-13T00:00:00"/>
    <d v="2020-07-02T00:00:00"/>
    <n v="14"/>
    <m/>
    <s v="Victoria"/>
    <s v="Meats"/>
    <s v="Meat Cutter"/>
    <n v="37"/>
    <s v="M"/>
    <s v="Male"/>
    <x v="0"/>
    <x v="0"/>
    <s v="STORES"/>
  </r>
  <r>
    <x v="107"/>
    <d v="2008-03-15T00:00:00"/>
    <d v="2020-11-26T00:00:00"/>
    <n v="12"/>
    <m/>
    <s v="Vernon"/>
    <s v="Processed Foods"/>
    <s v="Processed Foods Manager"/>
    <n v="36"/>
    <s v="F"/>
    <s v="Female"/>
    <x v="0"/>
    <x v="0"/>
    <s v="STORES"/>
  </r>
  <r>
    <x v="108"/>
    <d v="1998-08-27T00:00:00"/>
    <d v="2020-01-01T00:00:00"/>
    <n v="22"/>
    <m/>
    <s v="Vancouver"/>
    <s v="Employee Records"/>
    <s v="Benefits Admin"/>
    <n v="35"/>
    <s v="F"/>
    <s v="Female"/>
    <x v="0"/>
    <x v="0"/>
    <s v="HEADOFFICE"/>
  </r>
  <r>
    <x v="109"/>
    <d v="2001-01-07T00:00:00"/>
    <d v="2020-07-26T00:00:00"/>
    <n v="19"/>
    <m/>
    <s v="Vancouver"/>
    <s v="Employee Records"/>
    <s v="Benefits Admin"/>
    <n v="35"/>
    <s v="F"/>
    <s v="Female"/>
    <x v="0"/>
    <x v="0"/>
    <s v="HEADOFFICE"/>
  </r>
  <r>
    <x v="110"/>
    <d v="1995-07-22T00:00:00"/>
    <d v="2020-02-23T00:00:00"/>
    <n v="25"/>
    <m/>
    <s v="Victoria"/>
    <s v="Meats"/>
    <s v="Meat Cutter"/>
    <n v="37"/>
    <s v="F"/>
    <s v="Female"/>
    <x v="0"/>
    <x v="0"/>
    <s v="STORES"/>
  </r>
  <r>
    <x v="111"/>
    <d v="2004-04-19T00:00:00"/>
    <d v="2020-05-14T00:00:00"/>
    <n v="16"/>
    <m/>
    <s v="Vancouver"/>
    <s v="Employee Records"/>
    <s v="Benefits Admin"/>
    <n v="35"/>
    <s v="F"/>
    <s v="Female"/>
    <x v="0"/>
    <x v="0"/>
    <s v="HEADOFFICE"/>
  </r>
  <r>
    <x v="112"/>
    <d v="1997-07-05T00:00:00"/>
    <d v="2020-05-10T00:00:00"/>
    <n v="23"/>
    <m/>
    <s v="Prince George"/>
    <s v="Store Management"/>
    <s v="Store Manager"/>
    <n v="26"/>
    <s v="F"/>
    <s v="Female"/>
    <x v="0"/>
    <x v="0"/>
    <s v="STORES"/>
  </r>
  <r>
    <x v="113"/>
    <d v="1996-07-25T00:00:00"/>
    <d v="2020-01-27T00:00:00"/>
    <n v="24"/>
    <m/>
    <s v="Cranbrook"/>
    <s v="Meats"/>
    <s v="Meats Manager"/>
    <n v="8"/>
    <s v="M"/>
    <s v="Male"/>
    <x v="0"/>
    <x v="0"/>
    <s v="STORES"/>
  </r>
  <r>
    <x v="114"/>
    <d v="2007-04-13T00:00:00"/>
    <d v="2020-08-05T00:00:00"/>
    <n v="13"/>
    <m/>
    <s v="Richmond"/>
    <s v="Store Management"/>
    <s v="Store Manager"/>
    <n v="29"/>
    <s v="F"/>
    <s v="Female"/>
    <x v="0"/>
    <x v="0"/>
    <s v="STORES"/>
  </r>
  <r>
    <x v="115"/>
    <d v="2010-08-23T00:00:00"/>
    <d v="2020-04-04T00:00:00"/>
    <n v="10"/>
    <m/>
    <s v="Vancouver"/>
    <s v="Compensation"/>
    <s v="Compensation Analyst"/>
    <n v="35"/>
    <s v="F"/>
    <s v="Female"/>
    <x v="0"/>
    <x v="0"/>
    <s v="HEADOFFICE"/>
  </r>
  <r>
    <x v="116"/>
    <d v="2006-08-13T00:00:00"/>
    <d v="2020-04-17T00:00:00"/>
    <n v="14"/>
    <m/>
    <s v="Vancouver"/>
    <s v="Compensation"/>
    <s v="Compensation Analyst"/>
    <n v="35"/>
    <s v="M"/>
    <s v="Male"/>
    <x v="0"/>
    <x v="0"/>
    <s v="HEADOFFICE"/>
  </r>
  <r>
    <x v="117"/>
    <d v="1998-08-07T00:00:00"/>
    <d v="2020-02-02T00:00:00"/>
    <n v="22"/>
    <m/>
    <s v="Kelowna"/>
    <s v="Customer Service"/>
    <s v="Customer Service Manager"/>
    <n v="16"/>
    <s v="F"/>
    <s v="Female"/>
    <x v="0"/>
    <x v="0"/>
    <s v="STORES"/>
  </r>
  <r>
    <x v="118"/>
    <d v="1994-08-18T00:00:00"/>
    <d v="2020-05-27T00:00:00"/>
    <n v="26"/>
    <m/>
    <s v="Vancouver"/>
    <s v="Compensation"/>
    <s v="Compensation Analyst"/>
    <n v="35"/>
    <s v="M"/>
    <s v="Male"/>
    <x v="0"/>
    <x v="0"/>
    <s v="HEADOFFICE"/>
  </r>
  <r>
    <x v="119"/>
    <d v="1999-02-07T00:00:00"/>
    <d v="2020-03-30T00:00:00"/>
    <n v="21"/>
    <m/>
    <s v="Vancouver"/>
    <s v="Accounts Receiveable"/>
    <s v="Accounts Receiveable Clerk"/>
    <n v="35"/>
    <s v="F"/>
    <s v="Female"/>
    <x v="0"/>
    <x v="0"/>
    <s v="HEADOFFICE"/>
  </r>
  <r>
    <x v="120"/>
    <d v="2008-11-21T00:00:00"/>
    <d v="2020-01-11T00:00:00"/>
    <n v="12"/>
    <m/>
    <s v="Terrace"/>
    <s v="Dairy"/>
    <s v="Dairy Person"/>
    <n v="32"/>
    <s v="F"/>
    <s v="Female"/>
    <x v="0"/>
    <x v="0"/>
    <s v="STORES"/>
  </r>
  <r>
    <x v="121"/>
    <d v="1990-04-25T00:00:00"/>
    <d v="2020-09-16T00:00:00"/>
    <n v="30"/>
    <m/>
    <s v="Victoria"/>
    <s v="Meats"/>
    <s v="Meat Cutter"/>
    <n v="37"/>
    <s v="M"/>
    <s v="Male"/>
    <x v="0"/>
    <x v="0"/>
    <s v="STORES"/>
  </r>
  <r>
    <x v="122"/>
    <d v="2002-04-06T00:00:00"/>
    <d v="2020-03-08T00:00:00"/>
    <n v="18"/>
    <m/>
    <s v="Vancouver"/>
    <s v="Accounts Receiveable"/>
    <s v="Accounts Receiveable Clerk"/>
    <n v="35"/>
    <s v="M"/>
    <s v="Male"/>
    <x v="0"/>
    <x v="0"/>
    <s v="HEADOFFICE"/>
  </r>
  <r>
    <x v="123"/>
    <d v="1998-03-22T00:00:00"/>
    <d v="2020-12-21T00:00:00"/>
    <n v="22"/>
    <m/>
    <s v="Vernon"/>
    <s v="Customer Service"/>
    <s v="Customer Service Manager"/>
    <n v="36"/>
    <s v="F"/>
    <s v="Female"/>
    <x v="0"/>
    <x v="0"/>
    <s v="STORES"/>
  </r>
  <r>
    <x v="124"/>
    <d v="1991-10-15T00:00:00"/>
    <d v="2020-02-23T00:00:00"/>
    <n v="29"/>
    <m/>
    <s v="Kamloops"/>
    <s v="Dairy"/>
    <s v="Dairy Person"/>
    <n v="15"/>
    <s v="M"/>
    <s v="Male"/>
    <x v="0"/>
    <x v="0"/>
    <s v="STORES"/>
  </r>
  <r>
    <x v="125"/>
    <d v="1994-06-05T00:00:00"/>
    <d v="2020-03-20T00:00:00"/>
    <n v="26"/>
    <m/>
    <s v="Vancouver"/>
    <s v="Accounts Receiveable"/>
    <s v="Accounts Receiveable Clerk"/>
    <n v="35"/>
    <s v="F"/>
    <s v="Female"/>
    <x v="0"/>
    <x v="0"/>
    <s v="HEADOFFICE"/>
  </r>
  <r>
    <x v="126"/>
    <d v="2000-07-09T00:00:00"/>
    <d v="2020-06-09T00:00:00"/>
    <n v="20"/>
    <m/>
    <s v="Cranbrook"/>
    <s v="Produce"/>
    <s v="Produce Manager"/>
    <n v="8"/>
    <s v="F"/>
    <s v="Female"/>
    <x v="0"/>
    <x v="0"/>
    <s v="STORES"/>
  </r>
  <r>
    <x v="127"/>
    <d v="2004-01-29T00:00:00"/>
    <d v="2020-01-07T00:00:00"/>
    <n v="16"/>
    <m/>
    <s v="Vancouver"/>
    <s v="Accounts Receiveable"/>
    <s v="Accounts Receiveable Clerk"/>
    <n v="35"/>
    <s v="M"/>
    <s v="Male"/>
    <x v="0"/>
    <x v="0"/>
    <s v="HEADOFFICE"/>
  </r>
  <r>
    <x v="128"/>
    <d v="2000-06-05T00:00:00"/>
    <d v="2020-04-21T00:00:00"/>
    <n v="20"/>
    <m/>
    <s v="Kamloops"/>
    <s v="Processed Foods"/>
    <s v="Processed Foods Manager"/>
    <n v="15"/>
    <s v="M"/>
    <s v="Male"/>
    <x v="0"/>
    <x v="0"/>
    <s v="STORES"/>
  </r>
  <r>
    <x v="129"/>
    <d v="1990-05-04T00:00:00"/>
    <d v="2020-03-26T00:00:00"/>
    <n v="30"/>
    <m/>
    <s v="Vancouver"/>
    <s v="Accounts Payable"/>
    <s v="Accounts Payable Clerk"/>
    <n v="35"/>
    <s v="F"/>
    <s v="Female"/>
    <x v="0"/>
    <x v="0"/>
    <s v="HEADOFFICE"/>
  </r>
  <r>
    <x v="130"/>
    <d v="2015-03-06T00:00:00"/>
    <d v="2020-11-09T00:00:00"/>
    <n v="5"/>
    <m/>
    <s v="Vernon"/>
    <s v="Meats"/>
    <s v="Meat Cutter"/>
    <n v="36"/>
    <s v="F"/>
    <s v="Female"/>
    <x v="0"/>
    <x v="0"/>
    <s v="STORES"/>
  </r>
  <r>
    <x v="131"/>
    <d v="2005-10-09T00:00:00"/>
    <d v="2020-04-26T00:00:00"/>
    <n v="15"/>
    <m/>
    <s v="Cranbrook"/>
    <s v="Bakery"/>
    <s v="Bakery Manager"/>
    <n v="8"/>
    <s v="F"/>
    <s v="Female"/>
    <x v="0"/>
    <x v="0"/>
    <s v="STORES"/>
  </r>
  <r>
    <x v="132"/>
    <d v="2015-04-09T00:00:00"/>
    <d v="2020-07-01T00:00:00"/>
    <n v="5"/>
    <m/>
    <s v="Vancouver"/>
    <s v="Accounts Payable"/>
    <s v="Accounts Payable Clerk"/>
    <n v="35"/>
    <s v="F"/>
    <s v="Female"/>
    <x v="0"/>
    <x v="0"/>
    <s v="HEADOFFICE"/>
  </r>
  <r>
    <x v="133"/>
    <d v="2001-05-17T00:00:00"/>
    <d v="2020-11-01T00:00:00"/>
    <n v="19"/>
    <m/>
    <s v="Trail"/>
    <s v="Meats"/>
    <s v="Meats Manager"/>
    <n v="33"/>
    <s v="M"/>
    <s v="Male"/>
    <x v="0"/>
    <x v="0"/>
    <s v="STORES"/>
  </r>
  <r>
    <x v="134"/>
    <d v="2012-12-21T00:00:00"/>
    <d v="2020-06-29T00:00:00"/>
    <n v="8"/>
    <m/>
    <s v="Dawson Creek"/>
    <s v="Bakery"/>
    <s v="Baker"/>
    <n v="9"/>
    <s v="F"/>
    <s v="Female"/>
    <x v="2"/>
    <x v="0"/>
    <s v="STORES"/>
  </r>
  <r>
    <x v="135"/>
    <d v="2014-02-24T00:00:00"/>
    <d v="2020-07-24T00:00:00"/>
    <n v="6"/>
    <m/>
    <s v="Nanaimo"/>
    <s v="Processed Foods"/>
    <s v="Processed Foods Manager"/>
    <n v="18"/>
    <s v="M"/>
    <s v="Male"/>
    <x v="0"/>
    <x v="0"/>
    <s v="STORES"/>
  </r>
  <r>
    <x v="136"/>
    <d v="1994-01-28T00:00:00"/>
    <d v="2020-01-01T00:00:00"/>
    <n v="26"/>
    <m/>
    <s v="Nanaimo"/>
    <s v="Customer Service"/>
    <s v="Customer Service Manager"/>
    <n v="18"/>
    <s v="F"/>
    <s v="Female"/>
    <x v="0"/>
    <x v="0"/>
    <s v="STORES"/>
  </r>
  <r>
    <x v="137"/>
    <d v="1999-08-06T00:00:00"/>
    <d v="2020-05-09T00:00:00"/>
    <n v="21"/>
    <m/>
    <s v="Kelowna"/>
    <s v="Meats"/>
    <s v="Meat Cutter"/>
    <n v="16"/>
    <s v="F"/>
    <s v="Female"/>
    <x v="0"/>
    <x v="0"/>
    <s v="STORES"/>
  </r>
  <r>
    <x v="138"/>
    <d v="2009-08-25T00:00:00"/>
    <d v="2020-11-28T00:00:00"/>
    <n v="11"/>
    <m/>
    <s v="Nanaimo"/>
    <s v="Meats"/>
    <s v="Meat Cutter"/>
    <n v="18"/>
    <s v="M"/>
    <s v="Male"/>
    <x v="0"/>
    <x v="0"/>
    <s v="STORES"/>
  </r>
  <r>
    <x v="139"/>
    <d v="2004-10-07T00:00:00"/>
    <d v="2020-09-30T00:00:00"/>
    <n v="16"/>
    <m/>
    <s v="Vancouver"/>
    <s v="Accounts Payable"/>
    <s v="Accounts Payable Clerk"/>
    <n v="35"/>
    <s v="M"/>
    <s v="Male"/>
    <x v="0"/>
    <x v="0"/>
    <s v="HEADOFFICE"/>
  </r>
  <r>
    <x v="140"/>
    <d v="1999-09-20T00:00:00"/>
    <d v="2020-04-30T00:00:00"/>
    <n v="21"/>
    <m/>
    <s v="Terrace"/>
    <s v="Processed Foods"/>
    <s v="Processed Foods Manager"/>
    <n v="32"/>
    <s v="F"/>
    <s v="Female"/>
    <x v="0"/>
    <x v="0"/>
    <s v="STORES"/>
  </r>
  <r>
    <x v="141"/>
    <d v="2008-12-23T00:00:00"/>
    <d v="2020-01-09T00:00:00"/>
    <n v="12"/>
    <m/>
    <s v="Vernon"/>
    <s v="Meats"/>
    <s v="Meat Cutter"/>
    <n v="36"/>
    <s v="M"/>
    <s v="Male"/>
    <x v="0"/>
    <x v="0"/>
    <s v="STORES"/>
  </r>
  <r>
    <x v="142"/>
    <d v="1998-05-08T00:00:00"/>
    <d v="2020-09-15T00:00:00"/>
    <n v="22"/>
    <m/>
    <s v="Victoria"/>
    <s v="Meats"/>
    <s v="Meat Cutter"/>
    <n v="37"/>
    <s v="M"/>
    <s v="Male"/>
    <x v="0"/>
    <x v="0"/>
    <s v="STORES"/>
  </r>
  <r>
    <x v="143"/>
    <d v="1990-11-15T00:00:00"/>
    <d v="2020-10-04T00:00:00"/>
    <n v="30"/>
    <m/>
    <s v="Cranbrook"/>
    <s v="Dairy"/>
    <s v="Dairy Person"/>
    <n v="8"/>
    <s v="M"/>
    <s v="Male"/>
    <x v="0"/>
    <x v="0"/>
    <s v="STORES"/>
  </r>
  <r>
    <x v="144"/>
    <d v="2007-07-17T00:00:00"/>
    <d v="2020-06-09T00:00:00"/>
    <n v="13"/>
    <m/>
    <s v="Cranbrook"/>
    <s v="Processed Foods"/>
    <s v="Processed Foods Manager"/>
    <n v="8"/>
    <s v="F"/>
    <s v="Female"/>
    <x v="0"/>
    <x v="0"/>
    <s v="STORES"/>
  </r>
  <r>
    <x v="145"/>
    <d v="1990-02-19T00:00:00"/>
    <d v="2020-04-17T00:00:00"/>
    <n v="30"/>
    <m/>
    <s v="Vancouver"/>
    <s v="Audit"/>
    <s v="Auditor"/>
    <n v="35"/>
    <s v="M"/>
    <s v="Male"/>
    <x v="0"/>
    <x v="0"/>
    <s v="HEADOFFICE"/>
  </r>
  <r>
    <x v="146"/>
    <d v="2015-03-01T00:00:00"/>
    <d v="2020-04-17T00:00:00"/>
    <n v="5"/>
    <m/>
    <s v="Vancouver"/>
    <s v="Audit"/>
    <s v="Auditor"/>
    <n v="35"/>
    <s v="F"/>
    <s v="Female"/>
    <x v="0"/>
    <x v="0"/>
    <s v="HEADOFFICE"/>
  </r>
  <r>
    <x v="147"/>
    <d v="2001-09-10T00:00:00"/>
    <d v="2020-07-20T00:00:00"/>
    <n v="19"/>
    <m/>
    <s v="Fort St John"/>
    <s v="Produce"/>
    <s v="Produce Manager"/>
    <n v="12"/>
    <s v="F"/>
    <s v="Female"/>
    <x v="0"/>
    <x v="0"/>
    <s v="STORES"/>
  </r>
  <r>
    <x v="148"/>
    <d v="2012-02-03T00:00:00"/>
    <d v="2020-06-13T00:00:00"/>
    <n v="8"/>
    <m/>
    <s v="Vancouver"/>
    <s v="Audit"/>
    <s v="Auditor"/>
    <n v="35"/>
    <s v="M"/>
    <s v="Male"/>
    <x v="0"/>
    <x v="0"/>
    <s v="HEADOFFICE"/>
  </r>
  <r>
    <x v="149"/>
    <d v="2000-12-01T00:00:00"/>
    <d v="2020-12-02T00:00:00"/>
    <n v="20"/>
    <m/>
    <s v="Kelowna"/>
    <s v="Meats"/>
    <s v="Meat Cutter"/>
    <n v="16"/>
    <s v="F"/>
    <s v="Female"/>
    <x v="0"/>
    <x v="0"/>
    <s v="STORES"/>
  </r>
  <r>
    <x v="150"/>
    <d v="2002-11-21T00:00:00"/>
    <d v="2020-04-24T00:00:00"/>
    <n v="18"/>
    <m/>
    <s v="Squamish"/>
    <s v="Produce"/>
    <s v="Produce Manager"/>
    <n v="30"/>
    <s v="F"/>
    <s v="Female"/>
    <x v="0"/>
    <x v="0"/>
    <s v="STORES"/>
  </r>
  <r>
    <x v="151"/>
    <d v="2005-08-11T00:00:00"/>
    <d v="2020-05-23T00:00:00"/>
    <n v="15"/>
    <m/>
    <s v="Nanaimo"/>
    <s v="Meats"/>
    <s v="Meat Cutter"/>
    <n v="18"/>
    <s v="M"/>
    <s v="Male"/>
    <x v="0"/>
    <x v="0"/>
    <s v="STORES"/>
  </r>
  <r>
    <x v="152"/>
    <d v="2012-09-15T00:00:00"/>
    <d v="2020-03-04T00:00:00"/>
    <n v="8"/>
    <m/>
    <s v="Vancouver"/>
    <s v="Accounting"/>
    <s v="Accounting Clerk"/>
    <n v="35"/>
    <s v="F"/>
    <s v="Female"/>
    <x v="0"/>
    <x v="0"/>
    <s v="HEADOFFICE"/>
  </r>
  <r>
    <x v="153"/>
    <d v="2015-01-31T00:00:00"/>
    <d v="2020-02-20T00:00:00"/>
    <n v="5"/>
    <m/>
    <s v="Trail"/>
    <s v="Bakery"/>
    <s v="Bakery Manager"/>
    <n v="33"/>
    <s v="M"/>
    <s v="Male"/>
    <x v="0"/>
    <x v="0"/>
    <s v="STORES"/>
  </r>
  <r>
    <x v="154"/>
    <d v="2000-08-27T00:00:00"/>
    <d v="2020-12-14T00:00:00"/>
    <n v="20"/>
    <m/>
    <s v="Trail"/>
    <s v="Dairy"/>
    <s v="Dairy Person"/>
    <n v="33"/>
    <s v="M"/>
    <s v="Male"/>
    <x v="0"/>
    <x v="0"/>
    <s v="STORES"/>
  </r>
  <r>
    <x v="155"/>
    <d v="1997-03-02T00:00:00"/>
    <d v="2020-02-10T00:00:00"/>
    <n v="23"/>
    <m/>
    <s v="Nanaimo"/>
    <s v="Meats"/>
    <s v="Meat Cutter"/>
    <n v="18"/>
    <s v="M"/>
    <s v="Male"/>
    <x v="0"/>
    <x v="0"/>
    <s v="STORES"/>
  </r>
  <r>
    <x v="156"/>
    <d v="2006-03-19T00:00:00"/>
    <d v="2020-03-22T00:00:00"/>
    <n v="14"/>
    <m/>
    <s v="Vancouver"/>
    <s v="Accounting"/>
    <s v="Accounting Clerk"/>
    <n v="35"/>
    <s v="F"/>
    <s v="Female"/>
    <x v="0"/>
    <x v="0"/>
    <s v="HEADOFFICE"/>
  </r>
  <r>
    <x v="157"/>
    <d v="2006-05-31T00:00:00"/>
    <d v="2020-03-26T00:00:00"/>
    <n v="14"/>
    <m/>
    <s v="Vancouver"/>
    <s v="Accounting"/>
    <s v="Accounting Clerk"/>
    <n v="35"/>
    <s v="F"/>
    <s v="Female"/>
    <x v="0"/>
    <x v="0"/>
    <s v="HEADOFFICE"/>
  </r>
  <r>
    <x v="158"/>
    <d v="2001-07-01T00:00:00"/>
    <d v="2020-07-02T00:00:00"/>
    <n v="19"/>
    <m/>
    <s v="Fort St John"/>
    <s v="Bakery"/>
    <s v="Bakery Manager"/>
    <n v="12"/>
    <s v="F"/>
    <s v="Female"/>
    <x v="0"/>
    <x v="0"/>
    <s v="STORES"/>
  </r>
  <r>
    <x v="159"/>
    <d v="2014-07-20T00:00:00"/>
    <d v="2020-06-04T00:00:00"/>
    <n v="6"/>
    <m/>
    <s v="Squamish"/>
    <s v="Bakery"/>
    <s v="Bakery Manager"/>
    <n v="30"/>
    <s v="M"/>
    <s v="Male"/>
    <x v="0"/>
    <x v="0"/>
    <s v="STORES"/>
  </r>
  <r>
    <x v="160"/>
    <d v="2001-12-02T00:00:00"/>
    <d v="2020-01-19T00:00:00"/>
    <n v="19"/>
    <m/>
    <s v="Nanaimo"/>
    <s v="Meats"/>
    <s v="Meat Cutter"/>
    <n v="18"/>
    <s v="M"/>
    <s v="Male"/>
    <x v="0"/>
    <x v="0"/>
    <s v="STORES"/>
  </r>
  <r>
    <x v="161"/>
    <d v="1992-05-19T00:00:00"/>
    <d v="2020-11-13T00:00:00"/>
    <n v="28"/>
    <m/>
    <s v="Victoria"/>
    <s v="Meats"/>
    <s v="Meat Cutter"/>
    <n v="37"/>
    <s v="M"/>
    <s v="Male"/>
    <x v="0"/>
    <x v="0"/>
    <s v="STORES"/>
  </r>
  <r>
    <x v="162"/>
    <d v="2011-07-05T00:00:00"/>
    <d v="2020-11-14T00:00:00"/>
    <n v="9"/>
    <m/>
    <s v="Prince George"/>
    <s v="Meats"/>
    <s v="Meats Manager"/>
    <n v="26"/>
    <s v="F"/>
    <s v="Female"/>
    <x v="0"/>
    <x v="0"/>
    <s v="STORES"/>
  </r>
  <r>
    <x v="163"/>
    <d v="1998-01-13T00:00:00"/>
    <d v="2020-03-30T00:00:00"/>
    <n v="22"/>
    <m/>
    <s v="Victoria"/>
    <s v="Meats"/>
    <s v="Meat Cutter"/>
    <n v="37"/>
    <s v="M"/>
    <s v="Male"/>
    <x v="0"/>
    <x v="0"/>
    <s v="STORES"/>
  </r>
  <r>
    <x v="164"/>
    <d v="1996-05-28T00:00:00"/>
    <d v="2020-12-07T00:00:00"/>
    <n v="24"/>
    <m/>
    <s v="Kamloops"/>
    <s v="Customer Service"/>
    <s v="Customer Service Manager"/>
    <n v="15"/>
    <s v="F"/>
    <s v="Female"/>
    <x v="0"/>
    <x v="0"/>
    <s v="STORES"/>
  </r>
  <r>
    <x v="165"/>
    <d v="1999-07-14T00:00:00"/>
    <d v="2020-05-06T00:00:00"/>
    <n v="21"/>
    <m/>
    <s v="Cranbrook"/>
    <s v="Customer Service"/>
    <s v="Customer Service Manager"/>
    <n v="8"/>
    <s v="M"/>
    <s v="Male"/>
    <x v="0"/>
    <x v="0"/>
    <s v="STORES"/>
  </r>
  <r>
    <x v="166"/>
    <d v="2015-12-02T00:00:00"/>
    <d v="2020-02-02T00:00:00"/>
    <n v="5"/>
    <m/>
    <s v="Vancouver"/>
    <s v="Accounting"/>
    <s v="Accounting Clerk"/>
    <n v="35"/>
    <s v="F"/>
    <s v="Female"/>
    <x v="0"/>
    <x v="0"/>
    <s v="HEADOFFICE"/>
  </r>
  <r>
    <x v="167"/>
    <d v="2001-01-20T00:00:00"/>
    <d v="2020-12-22T00:00:00"/>
    <n v="19"/>
    <m/>
    <s v="Trail"/>
    <s v="Processed Foods"/>
    <s v="Processed Foods Manager"/>
    <n v="33"/>
    <s v="M"/>
    <s v="Male"/>
    <x v="0"/>
    <x v="0"/>
    <s v="STORES"/>
  </r>
  <r>
    <x v="168"/>
    <d v="2003-03-15T00:00:00"/>
    <d v="2020-01-07T00:00:00"/>
    <n v="17"/>
    <m/>
    <s v="Vancouver"/>
    <s v="Accounting"/>
    <s v="Accounting Clerk"/>
    <n v="35"/>
    <s v="F"/>
    <s v="Female"/>
    <x v="0"/>
    <x v="0"/>
    <s v="HEADOFFICE"/>
  </r>
  <r>
    <x v="169"/>
    <d v="1993-12-23T00:00:00"/>
    <d v="2020-10-14T00:00:00"/>
    <n v="27"/>
    <m/>
    <s v="Terrace"/>
    <s v="Customer Service"/>
    <s v="Customer Service Manager"/>
    <n v="32"/>
    <s v="F"/>
    <s v="Female"/>
    <x v="0"/>
    <x v="0"/>
    <s v="STORES"/>
  </r>
  <r>
    <x v="170"/>
    <d v="2010-07-12T00:00:00"/>
    <d v="2020-09-03T00:00:00"/>
    <n v="10"/>
    <m/>
    <s v="Vancouver"/>
    <s v="Investment"/>
    <s v="Investment Analyst"/>
    <n v="35"/>
    <s v="M"/>
    <s v="Male"/>
    <x v="0"/>
    <x v="0"/>
    <s v="HEADOFFICE"/>
  </r>
  <r>
    <x v="171"/>
    <d v="2011-01-20T00:00:00"/>
    <d v="2020-07-13T00:00:00"/>
    <n v="9"/>
    <m/>
    <s v="Vancouver"/>
    <s v="Investment"/>
    <s v="Investment Analyst"/>
    <n v="35"/>
    <s v="M"/>
    <s v="Male"/>
    <x v="0"/>
    <x v="0"/>
    <s v="HEADOFFICE"/>
  </r>
  <r>
    <x v="172"/>
    <d v="2015-04-07T00:00:00"/>
    <d v="2020-12-14T00:00:00"/>
    <n v="5"/>
    <m/>
    <s v="Vancouver"/>
    <s v="Investment"/>
    <s v="Investment Analyst"/>
    <n v="35"/>
    <s v="F"/>
    <s v="Female"/>
    <x v="0"/>
    <x v="0"/>
    <s v="HEADOFFICE"/>
  </r>
  <r>
    <x v="173"/>
    <d v="2007-06-25T00:00:00"/>
    <d v="2020-07-04T00:00:00"/>
    <n v="13"/>
    <m/>
    <s v="Surrey"/>
    <s v="Bakery"/>
    <s v="Bakery Manager"/>
    <n v="31"/>
    <s v="M"/>
    <s v="Male"/>
    <x v="0"/>
    <x v="0"/>
    <s v="STORES"/>
  </r>
  <r>
    <x v="174"/>
    <d v="1996-03-02T00:00:00"/>
    <d v="2020-09-15T00:00:00"/>
    <n v="24"/>
    <m/>
    <s v="Victoria"/>
    <s v="Meats"/>
    <s v="Meat Cutter"/>
    <n v="37"/>
    <s v="M"/>
    <s v="Male"/>
    <x v="0"/>
    <x v="0"/>
    <s v="STORES"/>
  </r>
  <r>
    <x v="175"/>
    <d v="2003-09-06T00:00:00"/>
    <d v="2020-09-17T00:00:00"/>
    <n v="17"/>
    <m/>
    <s v="Vancouver"/>
    <s v="Store Management"/>
    <s v="Store Manager"/>
    <n v="41"/>
    <s v="F"/>
    <s v="Female"/>
    <x v="0"/>
    <x v="0"/>
    <s v="STORES"/>
  </r>
  <r>
    <x v="176"/>
    <d v="2006-06-30T00:00:00"/>
    <d v="2020-08-13T00:00:00"/>
    <n v="14"/>
    <m/>
    <s v="Nanaimo"/>
    <s v="Meats"/>
    <s v="Meat Cutter"/>
    <n v="18"/>
    <s v="M"/>
    <s v="Male"/>
    <x v="0"/>
    <x v="0"/>
    <s v="STORES"/>
  </r>
  <r>
    <x v="177"/>
    <d v="2009-05-18T00:00:00"/>
    <d v="2020-12-14T00:00:00"/>
    <n v="11"/>
    <m/>
    <s v="Vancouver"/>
    <s v="Meats"/>
    <s v="Meats Manager"/>
    <n v="41"/>
    <s v="M"/>
    <s v="Male"/>
    <x v="0"/>
    <x v="0"/>
    <s v="STORES"/>
  </r>
  <r>
    <x v="178"/>
    <d v="2009-01-10T00:00:00"/>
    <d v="2020-07-05T00:00:00"/>
    <n v="11"/>
    <m/>
    <s v="Vancouver"/>
    <s v="Produce"/>
    <s v="Produce Manager"/>
    <n v="41"/>
    <s v="F"/>
    <s v="Female"/>
    <x v="0"/>
    <x v="0"/>
    <s v="STORES"/>
  </r>
  <r>
    <x v="179"/>
    <d v="2008-07-24T00:00:00"/>
    <d v="2020-01-29T00:00:00"/>
    <n v="12"/>
    <m/>
    <s v="Grand Forks"/>
    <s v="Store Management"/>
    <s v="Store Manager"/>
    <n v="13"/>
    <s v="M"/>
    <s v="Male"/>
    <x v="2"/>
    <x v="0"/>
    <s v="STORES"/>
  </r>
  <r>
    <x v="180"/>
    <d v="1997-09-05T00:00:00"/>
    <d v="2020-03-16T00:00:00"/>
    <n v="23"/>
    <m/>
    <s v="West Vancouver"/>
    <s v="Store Management"/>
    <s v="Store Manager"/>
    <n v="38"/>
    <s v="F"/>
    <s v="Female"/>
    <x v="0"/>
    <x v="0"/>
    <s v="STORES"/>
  </r>
  <r>
    <x v="181"/>
    <d v="2012-01-13T00:00:00"/>
    <d v="2020-12-26T00:00:00"/>
    <n v="8"/>
    <m/>
    <s v="Surrey"/>
    <s v="Dairy"/>
    <s v="Dairy Person"/>
    <n v="31"/>
    <s v="F"/>
    <s v="Female"/>
    <x v="0"/>
    <x v="0"/>
    <s v="STORES"/>
  </r>
  <r>
    <x v="182"/>
    <d v="1998-08-05T00:00:00"/>
    <d v="2020-07-27T00:00:00"/>
    <n v="22"/>
    <m/>
    <s v="Victoria"/>
    <s v="Meats"/>
    <s v="Meat Cutter"/>
    <n v="37"/>
    <s v="F"/>
    <s v="Female"/>
    <x v="0"/>
    <x v="0"/>
    <s v="STORES"/>
  </r>
  <r>
    <x v="183"/>
    <d v="2005-12-12T00:00:00"/>
    <d v="2020-09-12T00:00:00"/>
    <n v="15"/>
    <m/>
    <s v="Vancouver"/>
    <s v="Bakery"/>
    <s v="Bakery Manager"/>
    <n v="41"/>
    <s v="F"/>
    <s v="Female"/>
    <x v="0"/>
    <x v="0"/>
    <s v="STORES"/>
  </r>
  <r>
    <x v="184"/>
    <d v="2001-06-09T00:00:00"/>
    <d v="2020-02-08T00:00:00"/>
    <n v="19"/>
    <m/>
    <s v="Nanaimo"/>
    <s v="Meats"/>
    <s v="Meat Cutter"/>
    <n v="18"/>
    <s v="F"/>
    <s v="Female"/>
    <x v="0"/>
    <x v="0"/>
    <s v="STORES"/>
  </r>
  <r>
    <x v="185"/>
    <d v="1991-12-01T00:00:00"/>
    <d v="2020-08-06T00:00:00"/>
    <n v="29"/>
    <m/>
    <s v="Victoria"/>
    <s v="Meats"/>
    <s v="Meat Cutter"/>
    <n v="37"/>
    <s v="F"/>
    <s v="Female"/>
    <x v="0"/>
    <x v="0"/>
    <s v="STORES"/>
  </r>
  <r>
    <x v="186"/>
    <d v="2003-10-17T00:00:00"/>
    <d v="2020-08-10T00:00:00"/>
    <n v="17"/>
    <m/>
    <s v="Vancouver"/>
    <s v="Dairy"/>
    <s v="Dairy Person"/>
    <n v="41"/>
    <s v="F"/>
    <s v="Female"/>
    <x v="1"/>
    <x v="0"/>
    <s v="STORES"/>
  </r>
  <r>
    <x v="187"/>
    <d v="2009-07-30T00:00:00"/>
    <d v="2020-04-05T00:00:00"/>
    <n v="11"/>
    <m/>
    <s v="Vancouver"/>
    <s v="Processed Foods"/>
    <s v="Processed Foods Manager"/>
    <n v="41"/>
    <s v="F"/>
    <s v="Female"/>
    <x v="0"/>
    <x v="0"/>
    <s v="STORES"/>
  </r>
  <r>
    <x v="188"/>
    <d v="2012-04-25T00:00:00"/>
    <d v="2020-05-08T00:00:00"/>
    <n v="8"/>
    <m/>
    <s v="Kamloops"/>
    <s v="Meats"/>
    <s v="Meat Cutter"/>
    <n v="15"/>
    <s v="F"/>
    <s v="Female"/>
    <x v="0"/>
    <x v="0"/>
    <s v="STORES"/>
  </r>
  <r>
    <x v="189"/>
    <d v="1994-01-08T00:00:00"/>
    <d v="2020-03-18T00:00:00"/>
    <n v="26"/>
    <m/>
    <s v="Vancouver"/>
    <s v="Customer Service"/>
    <s v="Customer Service Manager"/>
    <n v="41"/>
    <s v="F"/>
    <s v="Female"/>
    <x v="0"/>
    <x v="0"/>
    <s v="STORES"/>
  </r>
  <r>
    <x v="190"/>
    <d v="1999-06-23T00:00:00"/>
    <d v="2020-03-01T00:00:00"/>
    <n v="21"/>
    <m/>
    <s v="Prince George"/>
    <s v="Produce"/>
    <s v="Produce Manager"/>
    <n v="26"/>
    <s v="F"/>
    <s v="Female"/>
    <x v="0"/>
    <x v="0"/>
    <s v="STORES"/>
  </r>
  <r>
    <x v="191"/>
    <d v="1991-05-29T00:00:00"/>
    <d v="2020-06-01T00:00:00"/>
    <n v="29"/>
    <m/>
    <s v="Nanaimo"/>
    <s v="Meats"/>
    <s v="Meat Cutter"/>
    <n v="18"/>
    <s v="F"/>
    <s v="Female"/>
    <x v="0"/>
    <x v="0"/>
    <s v="STORES"/>
  </r>
  <r>
    <x v="192"/>
    <d v="2000-10-03T00:00:00"/>
    <d v="2020-12-22T00:00:00"/>
    <n v="20"/>
    <m/>
    <s v="Burnaby"/>
    <s v="Meats"/>
    <s v="Meats Manager"/>
    <n v="5"/>
    <s v="F"/>
    <s v="Female"/>
    <x v="0"/>
    <x v="0"/>
    <s v="STORES"/>
  </r>
  <r>
    <x v="193"/>
    <d v="2005-05-20T00:00:00"/>
    <d v="2020-09-23T00:00:00"/>
    <n v="15"/>
    <m/>
    <s v="Burnaby"/>
    <s v="Produce"/>
    <s v="Produce Manager"/>
    <n v="5"/>
    <s v="M"/>
    <s v="Male"/>
    <x v="0"/>
    <x v="0"/>
    <s v="STORES"/>
  </r>
  <r>
    <x v="194"/>
    <d v="1995-05-15T00:00:00"/>
    <d v="2020-11-09T00:00:00"/>
    <n v="25"/>
    <m/>
    <s v="Vancouver"/>
    <s v="Store Management"/>
    <s v="Store Manager"/>
    <n v="42"/>
    <s v="F"/>
    <s v="Female"/>
    <x v="0"/>
    <x v="0"/>
    <s v="STORES"/>
  </r>
  <r>
    <x v="195"/>
    <d v="2013-05-03T00:00:00"/>
    <d v="2020-10-27T00:00:00"/>
    <n v="7"/>
    <m/>
    <s v="Kelowna"/>
    <s v="Meats"/>
    <s v="Meat Cutter"/>
    <n v="16"/>
    <s v="M"/>
    <s v="Male"/>
    <x v="0"/>
    <x v="0"/>
    <s v="STORES"/>
  </r>
  <r>
    <x v="196"/>
    <d v="1997-10-02T00:00:00"/>
    <d v="2020-01-16T00:00:00"/>
    <n v="23"/>
    <m/>
    <s v="Abbotsford"/>
    <s v="Store Management"/>
    <s v="Store Manager"/>
    <n v="1"/>
    <s v="M"/>
    <s v="Male"/>
    <x v="0"/>
    <x v="0"/>
    <s v="STORES"/>
  </r>
  <r>
    <x v="197"/>
    <d v="1993-07-05T00:00:00"/>
    <d v="2020-07-08T00:00:00"/>
    <n v="27"/>
    <m/>
    <s v="Prince George"/>
    <s v="Bakery"/>
    <s v="Bakery Manager"/>
    <n v="26"/>
    <s v="F"/>
    <s v="Female"/>
    <x v="0"/>
    <x v="0"/>
    <s v="STORES"/>
  </r>
  <r>
    <x v="198"/>
    <d v="2008-01-14T00:00:00"/>
    <d v="2020-09-02T00:00:00"/>
    <n v="12"/>
    <m/>
    <s v="Squamish"/>
    <s v="Dairy"/>
    <s v="Dairy Person"/>
    <n v="30"/>
    <s v="M"/>
    <s v="Male"/>
    <x v="0"/>
    <x v="0"/>
    <s v="STORES"/>
  </r>
  <r>
    <x v="199"/>
    <d v="2015-06-17T00:00:00"/>
    <d v="2020-01-16T00:00:00"/>
    <n v="5"/>
    <m/>
    <s v="New Westminster"/>
    <s v="Meats"/>
    <s v="Meats Manager"/>
    <n v="21"/>
    <s v="M"/>
    <s v="Male"/>
    <x v="0"/>
    <x v="0"/>
    <s v="STORES"/>
  </r>
  <r>
    <x v="200"/>
    <d v="1994-03-10T00:00:00"/>
    <d v="2020-11-02T00:00:00"/>
    <n v="26"/>
    <m/>
    <s v="Prince George"/>
    <s v="Dairy"/>
    <s v="Dairy Person"/>
    <n v="26"/>
    <s v="M"/>
    <s v="Male"/>
    <x v="0"/>
    <x v="0"/>
    <s v="STORES"/>
  </r>
  <r>
    <x v="201"/>
    <d v="2005-06-10T00:00:00"/>
    <d v="2020-01-01T00:00:00"/>
    <n v="15"/>
    <m/>
    <s v="Victoria"/>
    <s v="Meats"/>
    <s v="Meat Cutter"/>
    <n v="37"/>
    <s v="F"/>
    <s v="Female"/>
    <x v="0"/>
    <x v="0"/>
    <s v="STORES"/>
  </r>
  <r>
    <x v="202"/>
    <d v="1991-08-28T00:00:00"/>
    <d v="2020-01-28T00:00:00"/>
    <n v="29"/>
    <m/>
    <s v="New Westminster"/>
    <s v="Produce"/>
    <s v="Produce Manager"/>
    <n v="21"/>
    <s v="F"/>
    <s v="Female"/>
    <x v="0"/>
    <x v="0"/>
    <s v="STORES"/>
  </r>
  <r>
    <x v="203"/>
    <d v="2000-12-22T00:00:00"/>
    <d v="2020-04-12T00:00:00"/>
    <n v="20"/>
    <m/>
    <s v="Kelowna"/>
    <s v="Meats"/>
    <s v="Meat Cutter"/>
    <n v="16"/>
    <s v="M"/>
    <s v="Male"/>
    <x v="0"/>
    <x v="0"/>
    <s v="STORES"/>
  </r>
  <r>
    <x v="204"/>
    <d v="1995-03-06T00:00:00"/>
    <d v="2020-02-05T00:00:00"/>
    <n v="25"/>
    <m/>
    <s v="Prince George"/>
    <s v="Processed Foods"/>
    <s v="Processed Foods Manager"/>
    <n v="26"/>
    <s v="F"/>
    <s v="Female"/>
    <x v="1"/>
    <x v="0"/>
    <s v="STORES"/>
  </r>
  <r>
    <x v="205"/>
    <d v="1996-11-22T00:00:00"/>
    <d v="2020-02-10T00:00:00"/>
    <n v="24"/>
    <m/>
    <s v="Cranbrook"/>
    <s v="Meats"/>
    <s v="Meat Cutter"/>
    <n v="8"/>
    <s v="F"/>
    <s v="Female"/>
    <x v="0"/>
    <x v="0"/>
    <s v="STORES"/>
  </r>
  <r>
    <x v="206"/>
    <d v="1999-11-29T00:00:00"/>
    <d v="2020-10-31T00:00:00"/>
    <n v="21"/>
    <m/>
    <s v="Vancouver"/>
    <s v="Meats"/>
    <s v="Meats Manager"/>
    <n v="42"/>
    <s v="F"/>
    <s v="Female"/>
    <x v="0"/>
    <x v="0"/>
    <s v="STORES"/>
  </r>
  <r>
    <x v="207"/>
    <d v="1995-12-15T00:00:00"/>
    <d v="2020-08-07T00:00:00"/>
    <n v="25"/>
    <m/>
    <s v="New Westminster"/>
    <s v="Bakery"/>
    <s v="Bakery Manager"/>
    <n v="21"/>
    <s v="M"/>
    <s v="Male"/>
    <x v="0"/>
    <x v="0"/>
    <s v="STORES"/>
  </r>
  <r>
    <x v="208"/>
    <d v="1993-06-24T00:00:00"/>
    <d v="2020-03-06T00:00:00"/>
    <n v="27"/>
    <m/>
    <s v="Trail"/>
    <s v="Customer Service"/>
    <s v="Customer Service Manager"/>
    <n v="33"/>
    <s v="M"/>
    <s v="Male"/>
    <x v="0"/>
    <x v="0"/>
    <s v="STORES"/>
  </r>
  <r>
    <x v="209"/>
    <d v="1999-04-10T00:00:00"/>
    <d v="2020-03-17T00:00:00"/>
    <n v="21"/>
    <m/>
    <s v="Vancouver"/>
    <s v="Produce"/>
    <s v="Produce Manager"/>
    <n v="42"/>
    <s v="F"/>
    <s v="Female"/>
    <x v="0"/>
    <x v="0"/>
    <s v="STORES"/>
  </r>
  <r>
    <x v="210"/>
    <d v="2000-03-07T00:00:00"/>
    <d v="2020-08-27T00:00:00"/>
    <n v="20"/>
    <m/>
    <s v="New Westminster"/>
    <s v="Dairy"/>
    <s v="Dairy Person"/>
    <n v="21"/>
    <s v="F"/>
    <s v="Female"/>
    <x v="0"/>
    <x v="0"/>
    <s v="STORES"/>
  </r>
  <r>
    <x v="211"/>
    <d v="2005-02-21T00:00:00"/>
    <d v="2020-12-16T00:00:00"/>
    <n v="15"/>
    <m/>
    <s v="Nanaimo"/>
    <s v="Meats"/>
    <s v="Meat Cutter"/>
    <n v="18"/>
    <s v="M"/>
    <s v="Male"/>
    <x v="0"/>
    <x v="0"/>
    <s v="STORES"/>
  </r>
  <r>
    <x v="212"/>
    <d v="1997-06-16T00:00:00"/>
    <d v="2020-11-13T00:00:00"/>
    <n v="23"/>
    <m/>
    <s v="Quesnel"/>
    <s v="Bakery"/>
    <s v="Bakery Manager"/>
    <n v="28"/>
    <s v="M"/>
    <s v="Male"/>
    <x v="0"/>
    <x v="0"/>
    <s v="STORES"/>
  </r>
  <r>
    <x v="213"/>
    <d v="1994-10-29T00:00:00"/>
    <d v="2020-04-02T00:00:00"/>
    <n v="26"/>
    <m/>
    <s v="Aldergrove"/>
    <s v="Store Management"/>
    <s v="Store Manager"/>
    <n v="2"/>
    <s v="F"/>
    <s v="Female"/>
    <x v="0"/>
    <x v="0"/>
    <s v="STORES"/>
  </r>
  <r>
    <x v="214"/>
    <d v="2002-05-25T00:00:00"/>
    <d v="2020-02-06T00:00:00"/>
    <n v="18"/>
    <m/>
    <s v="Vancouver"/>
    <s v="Bakery"/>
    <s v="Bakery Manager"/>
    <n v="42"/>
    <s v="F"/>
    <s v="Female"/>
    <x v="0"/>
    <x v="0"/>
    <s v="STORES"/>
  </r>
  <r>
    <x v="215"/>
    <d v="1992-10-01T00:00:00"/>
    <d v="2020-06-29T00:00:00"/>
    <n v="28"/>
    <m/>
    <s v="New Westminster"/>
    <s v="Processed Foods"/>
    <s v="Processed Foods Manager"/>
    <n v="21"/>
    <s v="F"/>
    <s v="Female"/>
    <x v="0"/>
    <x v="0"/>
    <s v="STORES"/>
  </r>
  <r>
    <x v="216"/>
    <d v="1996-05-16T00:00:00"/>
    <d v="2020-05-28T00:00:00"/>
    <n v="24"/>
    <m/>
    <s v="Kamloops"/>
    <s v="Meats"/>
    <s v="Meat Cutter"/>
    <n v="15"/>
    <s v="F"/>
    <s v="Female"/>
    <x v="0"/>
    <x v="0"/>
    <s v="STORES"/>
  </r>
  <r>
    <x v="217"/>
    <d v="2013-06-20T00:00:00"/>
    <d v="2020-07-17T00:00:00"/>
    <n v="7"/>
    <m/>
    <s v="Terrace"/>
    <s v="Meats"/>
    <s v="Meat Cutter"/>
    <n v="32"/>
    <s v="F"/>
    <s v="Female"/>
    <x v="0"/>
    <x v="0"/>
    <s v="STORES"/>
  </r>
  <r>
    <x v="218"/>
    <d v="2005-08-07T00:00:00"/>
    <d v="2020-08-14T00:00:00"/>
    <n v="15"/>
    <m/>
    <s v="Vancouver"/>
    <s v="Dairy"/>
    <s v="Dairy Person"/>
    <n v="42"/>
    <s v="M"/>
    <s v="Male"/>
    <x v="0"/>
    <x v="0"/>
    <s v="STORES"/>
  </r>
  <r>
    <x v="219"/>
    <d v="1994-10-08T00:00:00"/>
    <d v="2020-01-26T00:00:00"/>
    <n v="26"/>
    <m/>
    <s v="Vancouver"/>
    <s v="Processed Foods"/>
    <s v="Processed Foods Manager"/>
    <n v="42"/>
    <s v="F"/>
    <s v="Female"/>
    <x v="0"/>
    <x v="0"/>
    <s v="STORES"/>
  </r>
  <r>
    <x v="220"/>
    <d v="1993-05-27T00:00:00"/>
    <d v="2020-12-18T00:00:00"/>
    <n v="27"/>
    <m/>
    <s v="Aldergrove"/>
    <s v="Meats"/>
    <s v="Meats Manager"/>
    <n v="2"/>
    <s v="F"/>
    <s v="Female"/>
    <x v="0"/>
    <x v="0"/>
    <s v="STORES"/>
  </r>
  <r>
    <x v="221"/>
    <d v="2014-12-18T00:00:00"/>
    <d v="2020-01-04T00:00:00"/>
    <n v="6"/>
    <m/>
    <s v="Quesnel"/>
    <s v="Dairy"/>
    <s v="Dairy Person"/>
    <n v="28"/>
    <s v="F"/>
    <s v="Female"/>
    <x v="0"/>
    <x v="0"/>
    <s v="STORES"/>
  </r>
  <r>
    <x v="222"/>
    <d v="2003-08-07T00:00:00"/>
    <d v="2020-01-20T00:00:00"/>
    <n v="17"/>
    <m/>
    <s v="Vernon"/>
    <s v="Meats"/>
    <s v="Meat Cutter"/>
    <n v="36"/>
    <s v="F"/>
    <s v="Female"/>
    <x v="0"/>
    <x v="0"/>
    <s v="STORES"/>
  </r>
  <r>
    <x v="223"/>
    <d v="2004-11-04T00:00:00"/>
    <d v="2020-03-20T00:00:00"/>
    <n v="16"/>
    <m/>
    <s v="Terrace"/>
    <s v="Meats"/>
    <s v="Meat Cutter"/>
    <n v="32"/>
    <s v="F"/>
    <s v="Female"/>
    <x v="0"/>
    <x v="0"/>
    <s v="STORES"/>
  </r>
  <r>
    <x v="224"/>
    <d v="2012-06-12T00:00:00"/>
    <d v="2020-04-07T00:00:00"/>
    <n v="8"/>
    <m/>
    <s v="Vancouver"/>
    <s v="Customer Service"/>
    <s v="Customer Service Manager"/>
    <n v="42"/>
    <s v="F"/>
    <s v="Female"/>
    <x v="0"/>
    <x v="0"/>
    <s v="STORES"/>
  </r>
  <r>
    <x v="225"/>
    <d v="2005-05-01T00:00:00"/>
    <d v="2020-02-27T00:00:00"/>
    <n v="15"/>
    <m/>
    <s v="Victoria"/>
    <s v="Meats"/>
    <s v="Meat Cutter"/>
    <n v="37"/>
    <s v="M"/>
    <s v="Male"/>
    <x v="2"/>
    <x v="0"/>
    <s v="STORES"/>
  </r>
  <r>
    <x v="226"/>
    <d v="1999-01-01T00:00:00"/>
    <d v="2020-12-03T00:00:00"/>
    <n v="21"/>
    <m/>
    <s v="Victoria"/>
    <s v="Meats"/>
    <s v="Meat Cutter"/>
    <n v="37"/>
    <s v="M"/>
    <s v="Male"/>
    <x v="2"/>
    <x v="0"/>
    <s v="STORES"/>
  </r>
  <r>
    <x v="227"/>
    <d v="1995-07-25T00:00:00"/>
    <d v="2020-09-23T00:00:00"/>
    <n v="25"/>
    <m/>
    <s v="Fort St John"/>
    <s v="Dairy"/>
    <s v="Dairy Person"/>
    <n v="12"/>
    <s v="M"/>
    <s v="Male"/>
    <x v="1"/>
    <x v="0"/>
    <s v="STORES"/>
  </r>
  <r>
    <x v="228"/>
    <d v="2009-04-12T00:00:00"/>
    <d v="2020-06-07T00:00:00"/>
    <n v="11"/>
    <m/>
    <s v="Victoria"/>
    <s v="Meats"/>
    <s v="Meat Cutter"/>
    <n v="37"/>
    <s v="M"/>
    <s v="Male"/>
    <x v="2"/>
    <x v="0"/>
    <s v="STORES"/>
  </r>
  <r>
    <x v="229"/>
    <d v="1996-07-29T00:00:00"/>
    <d v="2020-10-20T00:00:00"/>
    <n v="24"/>
    <m/>
    <s v="Victoria"/>
    <s v="Meats"/>
    <s v="Meat Cutter"/>
    <n v="37"/>
    <s v="F"/>
    <s v="Female"/>
    <x v="2"/>
    <x v="0"/>
    <s v="STORES"/>
  </r>
  <r>
    <x v="230"/>
    <d v="2002-12-06T00:00:00"/>
    <d v="2020-07-07T00:00:00"/>
    <n v="18"/>
    <m/>
    <s v="Victoria"/>
    <s v="Meats"/>
    <s v="Meat Cutter"/>
    <n v="37"/>
    <s v="M"/>
    <s v="Male"/>
    <x v="2"/>
    <x v="0"/>
    <s v="STORES"/>
  </r>
  <r>
    <x v="231"/>
    <d v="2003-09-12T00:00:00"/>
    <d v="2020-01-02T00:00:00"/>
    <n v="17"/>
    <m/>
    <s v="Vancouver"/>
    <s v="Store Management"/>
    <s v="Store Manager"/>
    <n v="45"/>
    <s v="F"/>
    <s v="Female"/>
    <x v="2"/>
    <x v="0"/>
    <s v="STORES"/>
  </r>
  <r>
    <x v="232"/>
    <d v="1999-07-18T00:00:00"/>
    <d v="2020-10-19T00:00:00"/>
    <n v="21"/>
    <m/>
    <s v="Vancouver"/>
    <s v="Meats"/>
    <s v="Meats Manager"/>
    <n v="45"/>
    <s v="F"/>
    <s v="Female"/>
    <x v="2"/>
    <x v="0"/>
    <s v="STORES"/>
  </r>
  <r>
    <x v="233"/>
    <d v="2009-02-10T00:00:00"/>
    <d v="2020-02-24T00:00:00"/>
    <n v="11"/>
    <m/>
    <s v="Victoria"/>
    <s v="Meats"/>
    <s v="Meat Cutter"/>
    <n v="37"/>
    <s v="F"/>
    <s v="Female"/>
    <x v="2"/>
    <x v="0"/>
    <s v="STORES"/>
  </r>
  <r>
    <x v="234"/>
    <d v="1990-11-16T00:00:00"/>
    <d v="2020-03-13T00:00:00"/>
    <n v="30"/>
    <m/>
    <s v="Victoria"/>
    <s v="Meats"/>
    <s v="Meat Cutter"/>
    <n v="37"/>
    <s v="M"/>
    <s v="Male"/>
    <x v="2"/>
    <x v="0"/>
    <s v="STORES"/>
  </r>
  <r>
    <x v="235"/>
    <d v="2007-11-01T00:00:00"/>
    <d v="2020-12-06T00:00:00"/>
    <n v="13"/>
    <m/>
    <s v="Vancouver"/>
    <s v="Produce"/>
    <s v="Produce Manager"/>
    <n v="45"/>
    <s v="F"/>
    <s v="Female"/>
    <x v="2"/>
    <x v="0"/>
    <s v="STORES"/>
  </r>
  <r>
    <x v="236"/>
    <d v="2006-03-24T00:00:00"/>
    <d v="2020-06-04T00:00:00"/>
    <n v="14"/>
    <m/>
    <s v="Vancouver"/>
    <s v="Bakery"/>
    <s v="Bakery Manager"/>
    <n v="45"/>
    <s v="F"/>
    <s v="Female"/>
    <x v="2"/>
    <x v="0"/>
    <s v="STORES"/>
  </r>
  <r>
    <x v="237"/>
    <d v="1990-06-22T00:00:00"/>
    <d v="2020-11-14T00:00:00"/>
    <n v="30"/>
    <m/>
    <s v="Victoria"/>
    <s v="Meats"/>
    <s v="Meat Cutter"/>
    <n v="37"/>
    <s v="F"/>
    <s v="Female"/>
    <x v="2"/>
    <x v="0"/>
    <s v="STORES"/>
  </r>
  <r>
    <x v="238"/>
    <d v="2000-09-27T00:00:00"/>
    <d v="2020-05-27T00:00:00"/>
    <n v="20"/>
    <m/>
    <s v="Victoria"/>
    <s v="Meats"/>
    <s v="Meat Cutter"/>
    <n v="37"/>
    <s v="F"/>
    <s v="Female"/>
    <x v="2"/>
    <x v="0"/>
    <s v="STORES"/>
  </r>
  <r>
    <x v="239"/>
    <d v="1995-03-31T00:00:00"/>
    <d v="2020-08-06T00:00:00"/>
    <n v="25"/>
    <m/>
    <s v="Vancouver"/>
    <s v="Dairy"/>
    <s v="Dairy Person"/>
    <n v="45"/>
    <s v="F"/>
    <s v="Female"/>
    <x v="2"/>
    <x v="0"/>
    <s v="STORES"/>
  </r>
  <r>
    <x v="240"/>
    <d v="2000-07-18T00:00:00"/>
    <d v="2020-10-04T00:00:00"/>
    <n v="20"/>
    <m/>
    <s v="Vancouver"/>
    <s v="Customer Service"/>
    <s v="Customer Service Manager"/>
    <n v="45"/>
    <s v="M"/>
    <s v="Male"/>
    <x v="2"/>
    <x v="0"/>
    <s v="STORES"/>
  </r>
  <r>
    <x v="241"/>
    <d v="2012-12-24T00:00:00"/>
    <d v="2020-09-19T00:00:00"/>
    <n v="8"/>
    <m/>
    <s v="Nanaimo"/>
    <s v="Meats"/>
    <s v="Meat Cutter"/>
    <n v="18"/>
    <s v="M"/>
    <s v="Male"/>
    <x v="1"/>
    <x v="0"/>
    <s v="STORES"/>
  </r>
  <r>
    <x v="242"/>
    <d v="1991-06-19T00:00:00"/>
    <d v="2020-01-06T00:00:00"/>
    <n v="29"/>
    <m/>
    <s v="White Rock"/>
    <s v="Store Management"/>
    <s v="Store Manager"/>
    <n v="39"/>
    <s v="M"/>
    <s v="Male"/>
    <x v="2"/>
    <x v="0"/>
    <s v="STORES"/>
  </r>
  <r>
    <x v="243"/>
    <d v="1994-09-21T00:00:00"/>
    <d v="2020-05-20T00:00:00"/>
    <n v="26"/>
    <m/>
    <s v="Vancouver"/>
    <s v="Meats"/>
    <s v="Meat Cutter"/>
    <n v="41"/>
    <s v="F"/>
    <s v="Female"/>
    <x v="1"/>
    <x v="0"/>
    <s v="STORES"/>
  </r>
  <r>
    <x v="244"/>
    <d v="2008-08-28T00:00:00"/>
    <d v="2020-05-09T00:00:00"/>
    <n v="12"/>
    <m/>
    <s v="White Rock"/>
    <s v="Meats"/>
    <s v="Meat Cutter"/>
    <n v="39"/>
    <s v="F"/>
    <s v="Female"/>
    <x v="2"/>
    <x v="0"/>
    <s v="STORES"/>
  </r>
  <r>
    <x v="245"/>
    <d v="1991-03-04T00:00:00"/>
    <d v="2020-09-16T00:00:00"/>
    <n v="29"/>
    <m/>
    <s v="Dawson Creek"/>
    <s v="Produce"/>
    <s v="Produce Clerk"/>
    <n v="9"/>
    <s v="F"/>
    <s v="Female"/>
    <x v="2"/>
    <x v="0"/>
    <s v="STORES"/>
  </r>
  <r>
    <x v="246"/>
    <d v="2004-04-30T00:00:00"/>
    <d v="2020-07-09T00:00:00"/>
    <n v="16"/>
    <m/>
    <s v="New Westminister"/>
    <s v="Store Management"/>
    <s v="Store Manager"/>
    <n v="20"/>
    <s v="M"/>
    <s v="Male"/>
    <x v="2"/>
    <x v="0"/>
    <s v="STORES"/>
  </r>
  <r>
    <x v="247"/>
    <d v="1998-02-21T00:00:00"/>
    <d v="2020-06-17T00:00:00"/>
    <n v="22"/>
    <m/>
    <s v="Kelowna"/>
    <s v="Meats"/>
    <s v="Meat Cutter"/>
    <n v="16"/>
    <s v="M"/>
    <s v="Male"/>
    <x v="1"/>
    <x v="0"/>
    <s v="STORES"/>
  </r>
  <r>
    <x v="248"/>
    <d v="1995-04-22T00:00:00"/>
    <d v="2020-07-19T00:00:00"/>
    <n v="25"/>
    <m/>
    <s v="Burnaby"/>
    <s v="Meats"/>
    <s v="Meat Cutter"/>
    <n v="5"/>
    <s v="F"/>
    <s v="Female"/>
    <x v="1"/>
    <x v="0"/>
    <s v="STORES"/>
  </r>
  <r>
    <x v="249"/>
    <d v="1991-02-28T00:00:00"/>
    <d v="2020-02-06T00:00:00"/>
    <n v="29"/>
    <m/>
    <s v="Fort Nelson"/>
    <s v="Meats"/>
    <s v="Meats Manager"/>
    <n v="11"/>
    <s v="F"/>
    <s v="Female"/>
    <x v="2"/>
    <x v="0"/>
    <s v="STORES"/>
  </r>
  <r>
    <x v="250"/>
    <d v="2013-04-26T00:00:00"/>
    <d v="2020-08-26T00:00:00"/>
    <n v="7"/>
    <m/>
    <s v="Haney"/>
    <s v="Store Management"/>
    <s v="Store Manager"/>
    <n v="14"/>
    <s v="M"/>
    <s v="Male"/>
    <x v="2"/>
    <x v="0"/>
    <s v="STORES"/>
  </r>
  <r>
    <x v="251"/>
    <d v="1991-12-20T00:00:00"/>
    <d v="2020-08-28T00:00:00"/>
    <n v="29"/>
    <m/>
    <s v="White Rock"/>
    <s v="Produce"/>
    <s v="Produce Clerk"/>
    <n v="39"/>
    <s v="M"/>
    <s v="Male"/>
    <x v="2"/>
    <x v="0"/>
    <s v="STORES"/>
  </r>
  <r>
    <x v="252"/>
    <d v="2006-04-30T00:00:00"/>
    <d v="2020-09-18T00:00:00"/>
    <n v="14"/>
    <m/>
    <s v="Victoria"/>
    <s v="Meats"/>
    <s v="Meat Cutter"/>
    <n v="46"/>
    <s v="F"/>
    <s v="Female"/>
    <x v="1"/>
    <x v="0"/>
    <s v="STORES"/>
  </r>
  <r>
    <x v="253"/>
    <d v="2009-03-31T00:00:00"/>
    <d v="2020-10-11T00:00:00"/>
    <n v="11"/>
    <m/>
    <s v="Kelowna"/>
    <s v="Meats"/>
    <s v="Meat Cutter"/>
    <n v="16"/>
    <s v="M"/>
    <s v="Male"/>
    <x v="1"/>
    <x v="0"/>
    <s v="STORES"/>
  </r>
  <r>
    <x v="254"/>
    <d v="2005-11-07T00:00:00"/>
    <d v="2020-11-09T00:00:00"/>
    <n v="15"/>
    <m/>
    <s v="North Vancouver"/>
    <s v="Dairy"/>
    <s v="Dairy Person"/>
    <n v="22"/>
    <s v="F"/>
    <s v="Female"/>
    <x v="1"/>
    <x v="0"/>
    <s v="STORES"/>
  </r>
  <r>
    <x v="255"/>
    <d v="1994-08-30T00:00:00"/>
    <d v="2020-07-18T00:00:00"/>
    <n v="26"/>
    <m/>
    <s v="New Westminster"/>
    <s v="Meats"/>
    <s v="Meat Cutter"/>
    <n v="21"/>
    <s v="F"/>
    <s v="Female"/>
    <x v="0"/>
    <x v="0"/>
    <s v="STORES"/>
  </r>
  <r>
    <x v="256"/>
    <d v="2011-02-07T00:00:00"/>
    <d v="2020-04-25T00:00:00"/>
    <n v="9"/>
    <m/>
    <s v="Vernon"/>
    <s v="Meats"/>
    <s v="Meat Cutter"/>
    <n v="36"/>
    <s v="F"/>
    <s v="Female"/>
    <x v="0"/>
    <x v="0"/>
    <s v="STORES"/>
  </r>
  <r>
    <x v="257"/>
    <d v="2014-04-01T00:00:00"/>
    <d v="2020-03-11T00:00:00"/>
    <n v="6"/>
    <m/>
    <s v="New Westminster"/>
    <s v="Meats"/>
    <s v="Meat Cutter"/>
    <n v="21"/>
    <s v="M"/>
    <s v="Male"/>
    <x v="1"/>
    <x v="0"/>
    <s v="STORES"/>
  </r>
  <r>
    <x v="258"/>
    <d v="2004-07-07T00:00:00"/>
    <d v="2020-08-27T00:00:00"/>
    <n v="16"/>
    <m/>
    <s v="Valemount"/>
    <s v="Dairy"/>
    <s v="Dairy Person"/>
    <n v="34"/>
    <s v="F"/>
    <s v="Female"/>
    <x v="2"/>
    <x v="0"/>
    <s v="STORES"/>
  </r>
  <r>
    <x v="259"/>
    <d v="2006-11-30T00:00:00"/>
    <d v="2020-09-16T00:00:00"/>
    <n v="14"/>
    <m/>
    <s v="Chilliwack"/>
    <s v="Dairy"/>
    <s v="Dairy Person"/>
    <n v="6"/>
    <s v="F"/>
    <s v="Female"/>
    <x v="0"/>
    <x v="0"/>
    <s v="STORES"/>
  </r>
  <r>
    <x v="260"/>
    <d v="2009-08-28T00:00:00"/>
    <d v="2020-05-23T00:00:00"/>
    <n v="11"/>
    <m/>
    <s v="New Westminster"/>
    <s v="Meats"/>
    <s v="Meat Cutter"/>
    <n v="21"/>
    <s v="F"/>
    <s v="Female"/>
    <x v="0"/>
    <x v="0"/>
    <s v="STORES"/>
  </r>
  <r>
    <x v="261"/>
    <d v="2005-05-29T00:00:00"/>
    <d v="2020-04-27T00:00:00"/>
    <n v="15"/>
    <m/>
    <s v="Nanaimo"/>
    <s v="Meats"/>
    <s v="Meat Cutter"/>
    <n v="18"/>
    <s v="F"/>
    <s v="Female"/>
    <x v="0"/>
    <x v="0"/>
    <s v="STORES"/>
  </r>
  <r>
    <x v="262"/>
    <d v="2004-07-11T00:00:00"/>
    <d v="2020-11-30T00:00:00"/>
    <n v="16"/>
    <m/>
    <s v="Terrace"/>
    <s v="Dairy"/>
    <s v="Dairy Person"/>
    <n v="32"/>
    <s v="F"/>
    <s v="Female"/>
    <x v="0"/>
    <x v="0"/>
    <s v="STORES"/>
  </r>
  <r>
    <x v="263"/>
    <d v="2001-04-05T00:00:00"/>
    <d v="2020-04-08T00:00:00"/>
    <n v="19"/>
    <m/>
    <s v="Port Coquitlam"/>
    <s v="Meats"/>
    <s v="Meat Cutter"/>
    <n v="25"/>
    <s v="F"/>
    <s v="Female"/>
    <x v="0"/>
    <x v="0"/>
    <s v="STORES"/>
  </r>
  <r>
    <x v="264"/>
    <d v="1993-07-01T00:00:00"/>
    <d v="2020-11-01T00:00:00"/>
    <n v="27"/>
    <m/>
    <s v="Nanaimo"/>
    <s v="Meats"/>
    <s v="Meat Cutter"/>
    <n v="18"/>
    <s v="F"/>
    <s v="Female"/>
    <x v="0"/>
    <x v="0"/>
    <s v="STORES"/>
  </r>
  <r>
    <x v="265"/>
    <d v="1991-01-16T00:00:00"/>
    <d v="2020-11-08T00:00:00"/>
    <n v="29"/>
    <m/>
    <s v="Trail"/>
    <s v="Meats"/>
    <s v="Meat Cutter"/>
    <n v="33"/>
    <s v="F"/>
    <s v="Female"/>
    <x v="0"/>
    <x v="0"/>
    <s v="STORES"/>
  </r>
  <r>
    <x v="266"/>
    <d v="2006-01-16T00:00:00"/>
    <d v="2020-03-01T00:00:00"/>
    <n v="14"/>
    <m/>
    <s v="Ocean Falls"/>
    <s v="Dairy"/>
    <s v="Dairy Person"/>
    <n v="23"/>
    <s v="M"/>
    <s v="Male"/>
    <x v="2"/>
    <x v="0"/>
    <s v="STORES"/>
  </r>
  <r>
    <x v="267"/>
    <d v="2001-01-22T00:00:00"/>
    <d v="2020-02-24T00:00:00"/>
    <n v="19"/>
    <m/>
    <s v="New Westminster"/>
    <s v="Meats"/>
    <s v="Meat Cutter"/>
    <n v="21"/>
    <s v="F"/>
    <s v="Female"/>
    <x v="0"/>
    <x v="0"/>
    <s v="STORES"/>
  </r>
  <r>
    <x v="268"/>
    <d v="1994-12-06T00:00:00"/>
    <d v="2020-07-11T00:00:00"/>
    <n v="26"/>
    <m/>
    <s v="New Westminster"/>
    <s v="Meats"/>
    <s v="Meat Cutter"/>
    <n v="21"/>
    <s v="F"/>
    <s v="Female"/>
    <x v="0"/>
    <x v="0"/>
    <s v="STORES"/>
  </r>
  <r>
    <x v="269"/>
    <d v="1990-03-09T00:00:00"/>
    <d v="2020-12-22T00:00:00"/>
    <n v="30"/>
    <m/>
    <s v="New Westminster"/>
    <s v="Meats"/>
    <s v="Meat Cutter"/>
    <n v="21"/>
    <s v="F"/>
    <s v="Female"/>
    <x v="0"/>
    <x v="0"/>
    <s v="STORES"/>
  </r>
  <r>
    <x v="270"/>
    <d v="1993-11-14T00:00:00"/>
    <d v="2020-12-18T00:00:00"/>
    <n v="27"/>
    <m/>
    <s v="Victoria"/>
    <s v="Meats"/>
    <s v="Meat Cutter"/>
    <n v="37"/>
    <s v="F"/>
    <s v="Female"/>
    <x v="0"/>
    <x v="0"/>
    <s v="STORES"/>
  </r>
  <r>
    <x v="271"/>
    <d v="2004-05-18T00:00:00"/>
    <d v="2020-12-25T00:00:00"/>
    <n v="16"/>
    <m/>
    <s v="Cranbrook"/>
    <s v="Meats"/>
    <s v="Meat Cutter"/>
    <n v="8"/>
    <s v="F"/>
    <s v="Female"/>
    <x v="0"/>
    <x v="0"/>
    <s v="STORES"/>
  </r>
  <r>
    <x v="272"/>
    <d v="1997-09-16T00:00:00"/>
    <d v="2020-06-02T00:00:00"/>
    <n v="23"/>
    <m/>
    <s v="Kamloops"/>
    <s v="Meats"/>
    <s v="Meat Cutter"/>
    <n v="15"/>
    <s v="F"/>
    <s v="Female"/>
    <x v="0"/>
    <x v="0"/>
    <s v="STORES"/>
  </r>
  <r>
    <x v="273"/>
    <d v="2011-07-06T00:00:00"/>
    <d v="2020-08-04T00:00:00"/>
    <n v="9"/>
    <m/>
    <s v="Kamloops"/>
    <s v="Meats"/>
    <s v="Meat Cutter"/>
    <n v="15"/>
    <s v="F"/>
    <s v="Female"/>
    <x v="0"/>
    <x v="0"/>
    <s v="STORES"/>
  </r>
  <r>
    <x v="274"/>
    <d v="2005-12-27T00:00:00"/>
    <d v="2020-03-24T00:00:00"/>
    <n v="15"/>
    <m/>
    <s v="West Vancouver"/>
    <s v="Dairy"/>
    <s v="Dairy Person"/>
    <n v="38"/>
    <s v="F"/>
    <s v="Female"/>
    <x v="0"/>
    <x v="0"/>
    <s v="STORES"/>
  </r>
  <r>
    <x v="275"/>
    <d v="2003-06-29T00:00:00"/>
    <d v="2020-01-29T00:00:00"/>
    <n v="17"/>
    <m/>
    <s v="Terrace"/>
    <s v="Dairy"/>
    <s v="Dairy Person"/>
    <n v="32"/>
    <s v="F"/>
    <s v="Female"/>
    <x v="0"/>
    <x v="0"/>
    <s v="STORES"/>
  </r>
  <r>
    <x v="276"/>
    <d v="1991-10-30T00:00:00"/>
    <d v="2020-12-12T00:00:00"/>
    <n v="29"/>
    <m/>
    <s v="Nanaimo"/>
    <s v="Meats"/>
    <s v="Meat Cutter"/>
    <n v="18"/>
    <s v="M"/>
    <s v="Male"/>
    <x v="1"/>
    <x v="0"/>
    <s v="STORES"/>
  </r>
  <r>
    <x v="277"/>
    <d v="2012-10-07T00:00:00"/>
    <d v="2020-09-12T00:00:00"/>
    <n v="8"/>
    <m/>
    <s v="Pitt Meadows"/>
    <s v="Meats"/>
    <s v="Meat Cutter"/>
    <n v="24"/>
    <s v="F"/>
    <s v="Female"/>
    <x v="0"/>
    <x v="0"/>
    <s v="STORES"/>
  </r>
  <r>
    <x v="278"/>
    <d v="1996-08-22T00:00:00"/>
    <d v="2020-04-04T00:00:00"/>
    <n v="24"/>
    <m/>
    <s v="Fort St John"/>
    <s v="Dairy"/>
    <s v="Dairy Person"/>
    <n v="12"/>
    <s v="F"/>
    <s v="Female"/>
    <x v="0"/>
    <x v="0"/>
    <s v="STORES"/>
  </r>
  <r>
    <x v="279"/>
    <d v="2001-03-11T00:00:00"/>
    <d v="2020-07-05T00:00:00"/>
    <n v="19"/>
    <m/>
    <s v="Vancouver"/>
    <s v="Dairy"/>
    <s v="Dairy Person"/>
    <n v="35"/>
    <s v="F"/>
    <s v="Female"/>
    <x v="0"/>
    <x v="0"/>
    <s v="STORES"/>
  </r>
  <r>
    <x v="280"/>
    <d v="2003-04-23T00:00:00"/>
    <d v="2020-05-09T00:00:00"/>
    <n v="17"/>
    <m/>
    <s v="Cranbrook"/>
    <s v="Meats"/>
    <s v="Meat Cutter"/>
    <n v="8"/>
    <s v="F"/>
    <s v="Female"/>
    <x v="0"/>
    <x v="0"/>
    <s v="STORES"/>
  </r>
  <r>
    <x v="281"/>
    <d v="2012-01-13T00:00:00"/>
    <d v="2020-05-08T00:00:00"/>
    <n v="8"/>
    <m/>
    <s v="Grand Forks"/>
    <s v="Meats"/>
    <s v="Meats Manager"/>
    <n v="13"/>
    <s v="M"/>
    <s v="Male"/>
    <x v="2"/>
    <x v="0"/>
    <s v="STORES"/>
  </r>
  <r>
    <x v="282"/>
    <d v="1995-06-09T00:00:00"/>
    <d v="2020-12-05T00:00:00"/>
    <n v="25"/>
    <m/>
    <s v="New Westminster"/>
    <s v="Meats"/>
    <s v="Meat Cutter"/>
    <n v="21"/>
    <s v="F"/>
    <s v="Female"/>
    <x v="0"/>
    <x v="0"/>
    <s v="STORES"/>
  </r>
  <r>
    <x v="283"/>
    <d v="2003-11-17T00:00:00"/>
    <d v="2020-12-12T00:00:00"/>
    <n v="17"/>
    <m/>
    <s v="Pitt Meadows"/>
    <s v="Produce"/>
    <s v="Produce Clerk"/>
    <n v="24"/>
    <s v="F"/>
    <s v="Female"/>
    <x v="0"/>
    <x v="0"/>
    <s v="STORES"/>
  </r>
  <r>
    <x v="284"/>
    <d v="2011-12-16T00:00:00"/>
    <d v="2020-06-06T00:00:00"/>
    <n v="9"/>
    <m/>
    <s v="Prince George"/>
    <s v="Meats"/>
    <s v="Meat Cutter"/>
    <n v="26"/>
    <s v="F"/>
    <s v="Female"/>
    <x v="0"/>
    <x v="0"/>
    <s v="STORES"/>
  </r>
  <r>
    <x v="285"/>
    <d v="2002-12-10T00:00:00"/>
    <d v="2020-10-31T00:00:00"/>
    <n v="18"/>
    <m/>
    <s v="Fort St John"/>
    <s v="Dairy"/>
    <s v="Dairy Person"/>
    <n v="12"/>
    <s v="F"/>
    <s v="Female"/>
    <x v="0"/>
    <x v="0"/>
    <s v="STORES"/>
  </r>
  <r>
    <x v="286"/>
    <d v="2005-11-07T00:00:00"/>
    <d v="2020-12-09T00:00:00"/>
    <n v="15"/>
    <m/>
    <s v="Victoria"/>
    <s v="Meats"/>
    <s v="Meat Cutter"/>
    <n v="37"/>
    <s v="F"/>
    <s v="Female"/>
    <x v="0"/>
    <x v="0"/>
    <s v="STORES"/>
  </r>
  <r>
    <x v="287"/>
    <d v="2004-05-19T00:00:00"/>
    <d v="2020-05-05T00:00:00"/>
    <n v="16"/>
    <m/>
    <s v="Kelowna"/>
    <s v="Meats"/>
    <s v="Meat Cutter"/>
    <n v="16"/>
    <s v="F"/>
    <s v="Female"/>
    <x v="0"/>
    <x v="0"/>
    <s v="STORES"/>
  </r>
  <r>
    <x v="288"/>
    <d v="1990-04-04T00:00:00"/>
    <d v="2020-05-06T00:00:00"/>
    <n v="30"/>
    <m/>
    <s v="Victoria"/>
    <s v="Meats"/>
    <s v="Meat Cutter"/>
    <n v="37"/>
    <s v="F"/>
    <s v="Female"/>
    <x v="0"/>
    <x v="0"/>
    <s v="STORES"/>
  </r>
  <r>
    <x v="289"/>
    <d v="2004-10-14T00:00:00"/>
    <d v="2020-05-20T00:00:00"/>
    <n v="16"/>
    <m/>
    <s v="Dawson Creek"/>
    <s v="Processed Foods"/>
    <s v="Shelf Stocker"/>
    <n v="9"/>
    <s v="M"/>
    <s v="Male"/>
    <x v="2"/>
    <x v="0"/>
    <s v="STORES"/>
  </r>
  <r>
    <x v="290"/>
    <d v="2008-12-29T00:00:00"/>
    <d v="2020-06-05T00:00:00"/>
    <n v="12"/>
    <m/>
    <s v="Burnaby"/>
    <s v="Meats"/>
    <s v="Meat Cutter"/>
    <n v="5"/>
    <s v="F"/>
    <s v="Female"/>
    <x v="0"/>
    <x v="0"/>
    <s v="STORES"/>
  </r>
  <r>
    <x v="291"/>
    <d v="1994-09-08T00:00:00"/>
    <d v="2020-03-26T00:00:00"/>
    <n v="26"/>
    <m/>
    <s v="Abbotsford"/>
    <s v="Meats"/>
    <s v="Meat Cutter"/>
    <n v="1"/>
    <s v="F"/>
    <s v="Female"/>
    <x v="0"/>
    <x v="0"/>
    <s v="STORES"/>
  </r>
  <r>
    <x v="292"/>
    <d v="2015-01-03T00:00:00"/>
    <d v="2020-01-18T00:00:00"/>
    <n v="5"/>
    <m/>
    <s v="West Vancouver"/>
    <s v="Dairy"/>
    <s v="Dairy Person"/>
    <n v="38"/>
    <s v="F"/>
    <s v="Female"/>
    <x v="0"/>
    <x v="0"/>
    <s v="STORES"/>
  </r>
  <r>
    <x v="293"/>
    <d v="1990-04-13T00:00:00"/>
    <d v="2020-06-04T00:00:00"/>
    <n v="30"/>
    <m/>
    <s v="Surrey"/>
    <s v="Meats"/>
    <s v="Meat Cutter"/>
    <n v="31"/>
    <s v="F"/>
    <s v="Female"/>
    <x v="0"/>
    <x v="0"/>
    <s v="STORES"/>
  </r>
  <r>
    <x v="294"/>
    <d v="2006-06-06T00:00:00"/>
    <d v="2020-03-12T00:00:00"/>
    <n v="14"/>
    <m/>
    <s v="Vernon"/>
    <s v="Produce"/>
    <s v="Produce Clerk"/>
    <n v="36"/>
    <s v="F"/>
    <s v="Female"/>
    <x v="0"/>
    <x v="0"/>
    <s v="STORES"/>
  </r>
  <r>
    <x v="295"/>
    <d v="2014-09-26T00:00:00"/>
    <d v="2020-12-10T00:00:00"/>
    <n v="6"/>
    <m/>
    <s v="Vancouver"/>
    <s v="Dairy"/>
    <s v="Dairy Person"/>
    <n v="35"/>
    <s v="F"/>
    <s v="Female"/>
    <x v="0"/>
    <x v="0"/>
    <s v="STORES"/>
  </r>
  <r>
    <x v="296"/>
    <d v="2004-08-22T00:00:00"/>
    <d v="2020-07-23T00:00:00"/>
    <n v="16"/>
    <m/>
    <s v="Nelson"/>
    <s v="Meats"/>
    <s v="Meat Cutter"/>
    <n v="19"/>
    <s v="F"/>
    <s v="Female"/>
    <x v="0"/>
    <x v="0"/>
    <s v="STORES"/>
  </r>
  <r>
    <x v="297"/>
    <d v="2013-07-20T00:00:00"/>
    <d v="2020-12-05T00:00:00"/>
    <n v="7"/>
    <m/>
    <s v="Vancouver"/>
    <s v="Dairy"/>
    <s v="Dairy Person"/>
    <n v="35"/>
    <s v="F"/>
    <s v="Female"/>
    <x v="0"/>
    <x v="0"/>
    <s v="STORES"/>
  </r>
  <r>
    <x v="298"/>
    <d v="2003-06-26T00:00:00"/>
    <d v="2020-08-09T00:00:00"/>
    <n v="17"/>
    <m/>
    <s v="Victoria"/>
    <s v="Meats"/>
    <s v="Meat Cutter"/>
    <n v="37"/>
    <s v="F"/>
    <s v="Female"/>
    <x v="0"/>
    <x v="0"/>
    <s v="STORES"/>
  </r>
  <r>
    <x v="299"/>
    <d v="1990-09-12T00:00:00"/>
    <d v="2020-03-18T00:00:00"/>
    <n v="30"/>
    <m/>
    <s v="Prince George"/>
    <s v="Meats"/>
    <s v="Meat Cutter"/>
    <n v="26"/>
    <s v="F"/>
    <s v="Female"/>
    <x v="0"/>
    <x v="0"/>
    <s v="STORES"/>
  </r>
  <r>
    <x v="300"/>
    <d v="2001-01-26T00:00:00"/>
    <d v="2020-01-10T00:00:00"/>
    <n v="19"/>
    <m/>
    <s v="Squamish"/>
    <s v="Meats"/>
    <s v="Meat Cutter"/>
    <n v="30"/>
    <s v="F"/>
    <s v="Female"/>
    <x v="0"/>
    <x v="0"/>
    <s v="STORES"/>
  </r>
  <r>
    <x v="301"/>
    <d v="2006-04-16T00:00:00"/>
    <d v="2020-10-05T00:00:00"/>
    <n v="14"/>
    <m/>
    <s v="Vancouver"/>
    <s v="Dairy"/>
    <s v="Dairy Person"/>
    <n v="35"/>
    <s v="F"/>
    <s v="Female"/>
    <x v="0"/>
    <x v="0"/>
    <s v="STORES"/>
  </r>
  <r>
    <x v="302"/>
    <d v="2007-12-13T00:00:00"/>
    <d v="2020-10-27T00:00:00"/>
    <n v="13"/>
    <m/>
    <s v="Nanaimo"/>
    <s v="Meats"/>
    <s v="Meat Cutter"/>
    <n v="18"/>
    <s v="F"/>
    <s v="Female"/>
    <x v="0"/>
    <x v="0"/>
    <s v="STORES"/>
  </r>
  <r>
    <x v="303"/>
    <d v="2006-04-14T00:00:00"/>
    <d v="2020-04-01T00:00:00"/>
    <n v="14"/>
    <m/>
    <s v="Princeton"/>
    <s v="Store Management"/>
    <s v="Store Manager"/>
    <n v="27"/>
    <s v="F"/>
    <s v="Female"/>
    <x v="2"/>
    <x v="0"/>
    <s v="STORES"/>
  </r>
  <r>
    <x v="304"/>
    <d v="1998-12-02T00:00:00"/>
    <d v="2020-12-18T00:00:00"/>
    <n v="22"/>
    <m/>
    <s v="West Vancouver"/>
    <s v="Dairy"/>
    <s v="Dairy Person"/>
    <n v="38"/>
    <s v="F"/>
    <s v="Female"/>
    <x v="0"/>
    <x v="0"/>
    <s v="STORES"/>
  </r>
  <r>
    <x v="305"/>
    <d v="2002-04-16T00:00:00"/>
    <d v="2020-08-19T00:00:00"/>
    <n v="18"/>
    <m/>
    <s v="Victoria"/>
    <s v="Meats"/>
    <s v="Meat Cutter"/>
    <n v="46"/>
    <s v="M"/>
    <s v="Male"/>
    <x v="1"/>
    <x v="0"/>
    <s v="STORES"/>
  </r>
  <r>
    <x v="306"/>
    <d v="2010-05-20T00:00:00"/>
    <d v="2020-04-26T00:00:00"/>
    <n v="10"/>
    <m/>
    <s v="Vancouver"/>
    <s v="Dairy"/>
    <s v="Dairy Person"/>
    <n v="35"/>
    <s v="F"/>
    <s v="Female"/>
    <x v="0"/>
    <x v="0"/>
    <s v="STORES"/>
  </r>
  <r>
    <x v="307"/>
    <d v="2005-04-25T00:00:00"/>
    <d v="2020-08-31T00:00:00"/>
    <n v="15"/>
    <m/>
    <s v="Fort Nelson"/>
    <s v="Produce"/>
    <s v="Produce Manager"/>
    <n v="11"/>
    <s v="M"/>
    <s v="Male"/>
    <x v="2"/>
    <x v="0"/>
    <s v="STORES"/>
  </r>
  <r>
    <x v="308"/>
    <d v="1999-01-07T00:00:00"/>
    <d v="2020-07-03T00:00:00"/>
    <n v="21"/>
    <m/>
    <s v="Surrey"/>
    <s v="Meats"/>
    <s v="Meat Cutter"/>
    <n v="31"/>
    <s v="F"/>
    <s v="Female"/>
    <x v="0"/>
    <x v="0"/>
    <s v="STORES"/>
  </r>
  <r>
    <x v="309"/>
    <d v="2005-06-06T00:00:00"/>
    <d v="2020-06-17T00:00:00"/>
    <n v="15"/>
    <m/>
    <s v="Nanaimo"/>
    <s v="Meats"/>
    <s v="Meat Cutter"/>
    <n v="18"/>
    <s v="F"/>
    <s v="Female"/>
    <x v="0"/>
    <x v="0"/>
    <s v="STORES"/>
  </r>
  <r>
    <x v="310"/>
    <d v="1991-02-21T00:00:00"/>
    <d v="2020-10-09T00:00:00"/>
    <n v="29"/>
    <m/>
    <s v="Nanaimo"/>
    <s v="Meats"/>
    <s v="Meat Cutter"/>
    <n v="18"/>
    <s v="F"/>
    <s v="Female"/>
    <x v="0"/>
    <x v="0"/>
    <s v="STORES"/>
  </r>
  <r>
    <x v="311"/>
    <d v="1997-01-13T00:00:00"/>
    <d v="2020-11-15T00:00:00"/>
    <n v="23"/>
    <m/>
    <s v="Kelowna"/>
    <s v="Meats"/>
    <s v="Meat Cutter"/>
    <n v="16"/>
    <s v="F"/>
    <s v="Female"/>
    <x v="0"/>
    <x v="0"/>
    <s v="STORES"/>
  </r>
  <r>
    <x v="312"/>
    <d v="2010-11-15T00:00:00"/>
    <d v="2020-05-19T00:00:00"/>
    <n v="10"/>
    <m/>
    <s v="Victoria"/>
    <s v="Meats"/>
    <s v="Meat Cutter"/>
    <n v="37"/>
    <s v="F"/>
    <s v="Female"/>
    <x v="0"/>
    <x v="0"/>
    <s v="STORES"/>
  </r>
  <r>
    <x v="313"/>
    <d v="1994-06-02T00:00:00"/>
    <d v="2020-05-01T00:00:00"/>
    <n v="26"/>
    <m/>
    <s v="Richmond"/>
    <s v="Dairy"/>
    <s v="Dairy Person"/>
    <n v="29"/>
    <s v="F"/>
    <s v="Female"/>
    <x v="0"/>
    <x v="0"/>
    <s v="STORES"/>
  </r>
  <r>
    <x v="314"/>
    <d v="2006-07-11T00:00:00"/>
    <d v="2020-03-06T00:00:00"/>
    <n v="14"/>
    <m/>
    <s v="Vancouver"/>
    <s v="Dairy"/>
    <s v="Dairy Person"/>
    <n v="35"/>
    <s v="F"/>
    <s v="Female"/>
    <x v="0"/>
    <x v="0"/>
    <s v="STORES"/>
  </r>
  <r>
    <x v="315"/>
    <d v="2002-06-19T00:00:00"/>
    <d v="2020-05-17T00:00:00"/>
    <n v="18"/>
    <m/>
    <s v="Vancouver"/>
    <s v="Dairy"/>
    <s v="Dairy Person"/>
    <n v="35"/>
    <s v="F"/>
    <s v="Female"/>
    <x v="0"/>
    <x v="0"/>
    <s v="STORES"/>
  </r>
  <r>
    <x v="316"/>
    <d v="1994-11-16T00:00:00"/>
    <d v="2020-07-01T00:00:00"/>
    <n v="26"/>
    <m/>
    <s v="New Westminster"/>
    <s v="Meats"/>
    <s v="Meat Cutter"/>
    <n v="21"/>
    <s v="M"/>
    <s v="Male"/>
    <x v="1"/>
    <x v="0"/>
    <s v="STORES"/>
  </r>
  <r>
    <x v="317"/>
    <d v="2000-03-26T00:00:00"/>
    <d v="2020-08-21T00:00:00"/>
    <n v="20"/>
    <m/>
    <s v="New Westminster"/>
    <s v="Meats"/>
    <s v="Meat Cutter"/>
    <n v="21"/>
    <s v="F"/>
    <s v="Female"/>
    <x v="0"/>
    <x v="0"/>
    <s v="STORES"/>
  </r>
  <r>
    <x v="318"/>
    <d v="2011-02-04T00:00:00"/>
    <d v="2020-07-22T00:00:00"/>
    <n v="9"/>
    <m/>
    <s v="Abbotsford"/>
    <s v="Produce"/>
    <s v="Produce Clerk"/>
    <n v="1"/>
    <s v="F"/>
    <s v="Female"/>
    <x v="0"/>
    <x v="0"/>
    <s v="STORES"/>
  </r>
  <r>
    <x v="319"/>
    <d v="2007-08-13T00:00:00"/>
    <d v="2020-01-21T00:00:00"/>
    <n v="13"/>
    <m/>
    <s v="Fort Nelson"/>
    <s v="Meats"/>
    <s v="Meat Cutter"/>
    <n v="11"/>
    <s v="F"/>
    <s v="Female"/>
    <x v="0"/>
    <x v="0"/>
    <s v="STORES"/>
  </r>
  <r>
    <x v="320"/>
    <d v="2011-08-20T00:00:00"/>
    <d v="2020-02-28T00:00:00"/>
    <n v="9"/>
    <m/>
    <s v="Vancouver"/>
    <s v="Dairy"/>
    <s v="Dairy Person"/>
    <n v="35"/>
    <s v="F"/>
    <s v="Female"/>
    <x v="0"/>
    <x v="0"/>
    <s v="STORES"/>
  </r>
  <r>
    <x v="321"/>
    <d v="2006-09-17T00:00:00"/>
    <d v="2020-06-12T00:00:00"/>
    <n v="14"/>
    <m/>
    <s v="Dawson Creek"/>
    <s v="Processed Foods"/>
    <s v="Shelf Stocker"/>
    <n v="9"/>
    <s v="M"/>
    <s v="Male"/>
    <x v="2"/>
    <x v="0"/>
    <s v="STORES"/>
  </r>
  <r>
    <x v="322"/>
    <d v="1997-05-27T00:00:00"/>
    <d v="2020-02-14T00:00:00"/>
    <n v="23"/>
    <m/>
    <s v="New Westminister"/>
    <s v="Meats"/>
    <s v="Meats Manager"/>
    <n v="20"/>
    <s v="M"/>
    <s v="Male"/>
    <x v="2"/>
    <x v="0"/>
    <s v="STORES"/>
  </r>
  <r>
    <x v="323"/>
    <d v="2005-04-09T00:00:00"/>
    <d v="2020-09-11T00:00:00"/>
    <n v="15"/>
    <m/>
    <s v="Victoria"/>
    <s v="Meats"/>
    <s v="Meat Cutter"/>
    <n v="37"/>
    <s v="F"/>
    <s v="Female"/>
    <x v="0"/>
    <x v="0"/>
    <s v="STORES"/>
  </r>
  <r>
    <x v="324"/>
    <d v="2011-03-22T00:00:00"/>
    <d v="2020-02-06T00:00:00"/>
    <n v="9"/>
    <m/>
    <s v="Vancouver"/>
    <s v="Dairy"/>
    <s v="Dairy Person"/>
    <n v="35"/>
    <s v="F"/>
    <s v="Female"/>
    <x v="0"/>
    <x v="0"/>
    <s v="STORES"/>
  </r>
  <r>
    <x v="325"/>
    <d v="1996-04-06T00:00:00"/>
    <d v="2020-09-18T00:00:00"/>
    <n v="24"/>
    <m/>
    <s v="Prince George"/>
    <s v="Meats"/>
    <s v="Meat Cutter"/>
    <n v="26"/>
    <s v="F"/>
    <s v="Female"/>
    <x v="0"/>
    <x v="0"/>
    <s v="STORES"/>
  </r>
  <r>
    <x v="326"/>
    <d v="1991-09-13T00:00:00"/>
    <d v="2020-01-25T00:00:00"/>
    <n v="29"/>
    <m/>
    <s v="Vancouver"/>
    <s v="Dairy"/>
    <s v="Dairy Person"/>
    <n v="35"/>
    <s v="F"/>
    <s v="Female"/>
    <x v="0"/>
    <x v="0"/>
    <s v="STORES"/>
  </r>
  <r>
    <x v="327"/>
    <d v="1991-06-17T00:00:00"/>
    <d v="2020-06-19T00:00:00"/>
    <n v="29"/>
    <m/>
    <s v="Burnaby"/>
    <s v="Meats"/>
    <s v="Meat Cutter"/>
    <n v="5"/>
    <s v="F"/>
    <s v="Female"/>
    <x v="0"/>
    <x v="0"/>
    <s v="STORES"/>
  </r>
  <r>
    <x v="328"/>
    <d v="2009-06-29T00:00:00"/>
    <d v="2020-03-16T00:00:00"/>
    <n v="11"/>
    <m/>
    <s v="Cranbrook"/>
    <s v="Meats"/>
    <s v="Meat Cutter"/>
    <n v="8"/>
    <s v="F"/>
    <s v="Female"/>
    <x v="0"/>
    <x v="0"/>
    <s v="STORES"/>
  </r>
  <r>
    <x v="329"/>
    <d v="2012-08-09T00:00:00"/>
    <d v="2020-01-12T00:00:00"/>
    <n v="8"/>
    <m/>
    <s v="Langley"/>
    <s v="Dairy"/>
    <s v="Dairy Person"/>
    <n v="17"/>
    <s v="F"/>
    <s v="Female"/>
    <x v="0"/>
    <x v="0"/>
    <s v="STORES"/>
  </r>
  <r>
    <x v="330"/>
    <d v="2006-05-31T00:00:00"/>
    <d v="2020-11-06T00:00:00"/>
    <n v="14"/>
    <m/>
    <s v="Kelowna"/>
    <s v="Meats"/>
    <s v="Meat Cutter"/>
    <n v="16"/>
    <s v="F"/>
    <s v="Female"/>
    <x v="0"/>
    <x v="0"/>
    <s v="STORES"/>
  </r>
  <r>
    <x v="331"/>
    <d v="1994-02-27T00:00:00"/>
    <d v="2020-07-08T00:00:00"/>
    <n v="26"/>
    <m/>
    <s v="New Westminster"/>
    <s v="Meats"/>
    <s v="Meat Cutter"/>
    <n v="21"/>
    <s v="F"/>
    <s v="Female"/>
    <x v="1"/>
    <x v="0"/>
    <s v="STORES"/>
  </r>
  <r>
    <x v="332"/>
    <d v="2002-10-24T00:00:00"/>
    <d v="2020-12-01T00:00:00"/>
    <n v="18"/>
    <m/>
    <s v="New Westminister"/>
    <s v="Produce"/>
    <s v="Produce Manager"/>
    <n v="20"/>
    <s v="M"/>
    <s v="Male"/>
    <x v="2"/>
    <x v="0"/>
    <s v="STORES"/>
  </r>
  <r>
    <x v="333"/>
    <d v="2003-11-16T00:00:00"/>
    <d v="2020-05-13T00:00:00"/>
    <n v="17"/>
    <m/>
    <s v="New Westminister"/>
    <s v="Dairy"/>
    <s v="Dairy Person"/>
    <n v="20"/>
    <s v="F"/>
    <s v="Female"/>
    <x v="0"/>
    <x v="0"/>
    <s v="STORES"/>
  </r>
  <r>
    <x v="334"/>
    <d v="1996-11-19T00:00:00"/>
    <d v="2020-10-06T00:00:00"/>
    <n v="24"/>
    <m/>
    <s v="Cranbrook"/>
    <s v="Meats"/>
    <s v="Meat Cutter"/>
    <n v="8"/>
    <s v="F"/>
    <s v="Female"/>
    <x v="0"/>
    <x v="0"/>
    <s v="STORES"/>
  </r>
  <r>
    <x v="335"/>
    <d v="1996-08-09T00:00:00"/>
    <d v="2020-12-17T00:00:00"/>
    <n v="24"/>
    <m/>
    <s v="Victoria"/>
    <s v="Meats"/>
    <s v="Meat Cutter"/>
    <n v="37"/>
    <s v="F"/>
    <s v="Female"/>
    <x v="0"/>
    <x v="0"/>
    <s v="STORES"/>
  </r>
  <r>
    <x v="336"/>
    <d v="1995-05-17T00:00:00"/>
    <d v="2020-03-22T00:00:00"/>
    <n v="25"/>
    <m/>
    <s v="Surrey"/>
    <s v="Meats"/>
    <s v="Meat Cutter"/>
    <n v="31"/>
    <s v="F"/>
    <s v="Female"/>
    <x v="0"/>
    <x v="0"/>
    <s v="STORES"/>
  </r>
  <r>
    <x v="337"/>
    <d v="1992-04-10T00:00:00"/>
    <d v="2020-12-20T00:00:00"/>
    <n v="28"/>
    <m/>
    <s v="Surrey"/>
    <s v="Meats"/>
    <s v="Meat Cutter"/>
    <n v="31"/>
    <s v="F"/>
    <s v="Female"/>
    <x v="0"/>
    <x v="0"/>
    <s v="STORES"/>
  </r>
  <r>
    <x v="338"/>
    <d v="2003-02-08T00:00:00"/>
    <d v="2020-09-09T00:00:00"/>
    <n v="17"/>
    <m/>
    <s v="North Vancouver"/>
    <s v="Meats"/>
    <s v="Meat Cutter"/>
    <n v="22"/>
    <s v="F"/>
    <s v="Female"/>
    <x v="1"/>
    <x v="0"/>
    <s v="STORES"/>
  </r>
  <r>
    <x v="339"/>
    <d v="2001-03-16T00:00:00"/>
    <d v="2020-09-26T00:00:00"/>
    <n v="19"/>
    <m/>
    <s v="Vancouver"/>
    <s v="Dairy"/>
    <s v="Dairy Person"/>
    <n v="35"/>
    <s v="F"/>
    <s v="Female"/>
    <x v="0"/>
    <x v="0"/>
    <s v="STORES"/>
  </r>
  <r>
    <x v="340"/>
    <d v="2015-04-02T00:00:00"/>
    <d v="2020-01-31T00:00:00"/>
    <n v="5"/>
    <m/>
    <s v="Vancouver"/>
    <s v="Dairy"/>
    <s v="Dairy Person"/>
    <n v="35"/>
    <s v="F"/>
    <s v="Female"/>
    <x v="0"/>
    <x v="0"/>
    <s v="STORES"/>
  </r>
  <r>
    <x v="341"/>
    <d v="2002-07-14T00:00:00"/>
    <d v="2020-04-11T00:00:00"/>
    <n v="18"/>
    <m/>
    <s v="Langley"/>
    <s v="Meats"/>
    <s v="Meat Cutter"/>
    <n v="17"/>
    <s v="F"/>
    <s v="Female"/>
    <x v="0"/>
    <x v="0"/>
    <s v="STORES"/>
  </r>
  <r>
    <x v="342"/>
    <d v="2004-07-15T00:00:00"/>
    <d v="2020-06-22T00:00:00"/>
    <n v="16"/>
    <m/>
    <s v="Aldergrove"/>
    <s v="Meats"/>
    <s v="Meat Cutter"/>
    <n v="2"/>
    <s v="F"/>
    <s v="Female"/>
    <x v="0"/>
    <x v="0"/>
    <s v="STORES"/>
  </r>
  <r>
    <x v="343"/>
    <d v="2002-09-06T00:00:00"/>
    <d v="2020-09-20T00:00:00"/>
    <n v="18"/>
    <m/>
    <s v="Vancouver"/>
    <s v="Dairy"/>
    <s v="Dairy Person"/>
    <n v="35"/>
    <s v="F"/>
    <s v="Female"/>
    <x v="0"/>
    <x v="0"/>
    <s v="STORES"/>
  </r>
  <r>
    <x v="344"/>
    <d v="2015-08-10T00:00:00"/>
    <d v="2020-10-16T00:00:00"/>
    <n v="5"/>
    <m/>
    <s v="Chilliwack"/>
    <s v="Meats"/>
    <s v="Meat Cutter"/>
    <n v="6"/>
    <s v="F"/>
    <s v="Female"/>
    <x v="0"/>
    <x v="0"/>
    <s v="STORES"/>
  </r>
  <r>
    <x v="345"/>
    <d v="1993-03-10T00:00:00"/>
    <d v="2020-08-23T00:00:00"/>
    <n v="27"/>
    <m/>
    <s v="Prince George"/>
    <s v="Meats"/>
    <s v="Meat Cutter"/>
    <n v="26"/>
    <s v="F"/>
    <s v="Female"/>
    <x v="0"/>
    <x v="0"/>
    <s v="STORES"/>
  </r>
  <r>
    <x v="346"/>
    <d v="1999-06-29T00:00:00"/>
    <d v="2020-01-03T00:00:00"/>
    <n v="21"/>
    <m/>
    <s v="New Westminster"/>
    <s v="Meats"/>
    <s v="Meat Cutter"/>
    <n v="21"/>
    <s v="F"/>
    <s v="Female"/>
    <x v="0"/>
    <x v="0"/>
    <s v="STORES"/>
  </r>
  <r>
    <x v="347"/>
    <d v="2002-11-21T00:00:00"/>
    <d v="2020-06-20T00:00:00"/>
    <n v="18"/>
    <m/>
    <s v="Fort St John"/>
    <s v="Meats"/>
    <s v="Meat Cutter"/>
    <n v="12"/>
    <s v="F"/>
    <s v="Female"/>
    <x v="0"/>
    <x v="0"/>
    <s v="STORES"/>
  </r>
  <r>
    <x v="348"/>
    <d v="2006-08-18T00:00:00"/>
    <d v="2020-12-23T00:00:00"/>
    <n v="14"/>
    <m/>
    <s v="Fort Nelson"/>
    <s v="Bakery"/>
    <s v="Bakery Manager"/>
    <n v="11"/>
    <s v="M"/>
    <s v="Male"/>
    <x v="2"/>
    <x v="0"/>
    <s v="STORES"/>
  </r>
  <r>
    <x v="349"/>
    <d v="2002-12-04T00:00:00"/>
    <d v="2020-10-18T00:00:00"/>
    <n v="18"/>
    <m/>
    <s v="Fort St John"/>
    <s v="Meats"/>
    <s v="Meat Cutter"/>
    <n v="12"/>
    <s v="F"/>
    <s v="Female"/>
    <x v="0"/>
    <x v="0"/>
    <s v="STORES"/>
  </r>
  <r>
    <x v="350"/>
    <d v="2010-05-06T00:00:00"/>
    <d v="2020-05-09T00:00:00"/>
    <n v="10"/>
    <m/>
    <s v="Burnaby"/>
    <s v="Meats"/>
    <s v="Meat Cutter"/>
    <n v="5"/>
    <s v="F"/>
    <s v="Female"/>
    <x v="0"/>
    <x v="0"/>
    <s v="STORES"/>
  </r>
  <r>
    <x v="351"/>
    <d v="2003-04-05T00:00:00"/>
    <d v="2020-08-02T00:00:00"/>
    <n v="17"/>
    <m/>
    <s v="Burnaby"/>
    <s v="Meats"/>
    <s v="Meat Cutter"/>
    <n v="5"/>
    <s v="F"/>
    <s v="Female"/>
    <x v="0"/>
    <x v="0"/>
    <s v="STORES"/>
  </r>
  <r>
    <x v="352"/>
    <d v="2010-03-04T00:00:00"/>
    <d v="2020-05-02T00:00:00"/>
    <n v="10"/>
    <m/>
    <s v="Chilliwack"/>
    <s v="Meats"/>
    <s v="Meat Cutter"/>
    <n v="6"/>
    <s v="F"/>
    <s v="Female"/>
    <x v="0"/>
    <x v="0"/>
    <s v="STORES"/>
  </r>
  <r>
    <x v="353"/>
    <d v="2000-06-19T00:00:00"/>
    <d v="2020-11-17T00:00:00"/>
    <n v="20"/>
    <m/>
    <s v="Surrey"/>
    <s v="Meats"/>
    <s v="Meat Cutter"/>
    <n v="31"/>
    <s v="F"/>
    <s v="Female"/>
    <x v="0"/>
    <x v="0"/>
    <s v="STORES"/>
  </r>
  <r>
    <x v="354"/>
    <d v="2001-10-11T00:00:00"/>
    <d v="2020-06-17T00:00:00"/>
    <n v="19"/>
    <m/>
    <s v="Williams Lake"/>
    <s v="Meats"/>
    <s v="Meat Cutter"/>
    <n v="40"/>
    <s v="F"/>
    <s v="Female"/>
    <x v="0"/>
    <x v="0"/>
    <s v="STORES"/>
  </r>
  <r>
    <x v="355"/>
    <d v="2015-10-13T00:00:00"/>
    <d v="2020-06-07T00:00:00"/>
    <n v="5"/>
    <m/>
    <s v="Fort St John"/>
    <s v="Meats"/>
    <s v="Meat Cutter"/>
    <n v="12"/>
    <s v="F"/>
    <s v="Female"/>
    <x v="0"/>
    <x v="0"/>
    <s v="STORES"/>
  </r>
  <r>
    <x v="356"/>
    <d v="1993-10-28T00:00:00"/>
    <d v="2020-11-02T00:00:00"/>
    <n v="27"/>
    <m/>
    <s v="Vancouver"/>
    <s v="Dairy"/>
    <s v="Dairy Person"/>
    <n v="35"/>
    <s v="F"/>
    <s v="Female"/>
    <x v="0"/>
    <x v="0"/>
    <s v="STORES"/>
  </r>
  <r>
    <x v="357"/>
    <d v="2007-06-10T00:00:00"/>
    <d v="2020-03-25T00:00:00"/>
    <n v="13"/>
    <m/>
    <s v="Kelowna"/>
    <s v="Meats"/>
    <s v="Meat Cutter"/>
    <n v="16"/>
    <s v="F"/>
    <s v="Female"/>
    <x v="1"/>
    <x v="0"/>
    <s v="STORES"/>
  </r>
  <r>
    <x v="358"/>
    <d v="2014-10-28T00:00:00"/>
    <d v="2020-11-18T00:00:00"/>
    <n v="6"/>
    <m/>
    <s v="White Rock"/>
    <s v="Bakery"/>
    <s v="Baker"/>
    <n v="39"/>
    <s v="M"/>
    <s v="Male"/>
    <x v="2"/>
    <x v="0"/>
    <s v="STORES"/>
  </r>
  <r>
    <x v="359"/>
    <d v="1996-04-29T00:00:00"/>
    <d v="2020-01-27T00:00:00"/>
    <n v="24"/>
    <m/>
    <s v="Fort St John"/>
    <s v="Meats"/>
    <s v="Meat Cutter"/>
    <n v="12"/>
    <s v="F"/>
    <s v="Female"/>
    <x v="0"/>
    <x v="0"/>
    <s v="STORES"/>
  </r>
  <r>
    <x v="360"/>
    <d v="2012-04-11T00:00:00"/>
    <d v="2020-07-31T00:00:00"/>
    <n v="8"/>
    <m/>
    <s v="Vernon"/>
    <s v="Produce"/>
    <s v="Produce Clerk"/>
    <n v="36"/>
    <s v="F"/>
    <s v="Female"/>
    <x v="0"/>
    <x v="0"/>
    <s v="STORES"/>
  </r>
  <r>
    <x v="361"/>
    <d v="2011-08-13T00:00:00"/>
    <d v="2020-09-28T00:00:00"/>
    <n v="9"/>
    <m/>
    <s v="North Vancouver"/>
    <s v="Meats"/>
    <s v="Meat Cutter"/>
    <n v="22"/>
    <s v="M"/>
    <s v="Male"/>
    <x v="1"/>
    <x v="0"/>
    <s v="STORES"/>
  </r>
  <r>
    <x v="362"/>
    <d v="1993-11-16T00:00:00"/>
    <d v="2020-09-09T00:00:00"/>
    <n v="27"/>
    <m/>
    <s v="Prince George"/>
    <s v="Meats"/>
    <s v="Meat Cutter"/>
    <n v="26"/>
    <s v="F"/>
    <s v="Female"/>
    <x v="0"/>
    <x v="0"/>
    <s v="STORES"/>
  </r>
  <r>
    <x v="363"/>
    <d v="1995-08-16T00:00:00"/>
    <d v="2020-08-07T00:00:00"/>
    <n v="25"/>
    <m/>
    <s v="Victoria"/>
    <s v="Meats"/>
    <s v="Meat Cutter"/>
    <n v="37"/>
    <s v="F"/>
    <s v="Female"/>
    <x v="0"/>
    <x v="0"/>
    <s v="STORES"/>
  </r>
  <r>
    <x v="364"/>
    <d v="1990-04-29T00:00:00"/>
    <d v="2020-01-19T00:00:00"/>
    <n v="30"/>
    <m/>
    <s v="Vancouver"/>
    <s v="Dairy"/>
    <s v="Dairy Person"/>
    <n v="35"/>
    <s v="F"/>
    <s v="Female"/>
    <x v="0"/>
    <x v="0"/>
    <s v="STORES"/>
  </r>
  <r>
    <x v="365"/>
    <d v="1990-04-23T00:00:00"/>
    <d v="2020-08-08T00:00:00"/>
    <n v="30"/>
    <m/>
    <s v="Ocean Falls"/>
    <s v="Dairy"/>
    <s v="Dairy Person"/>
    <n v="23"/>
    <s v="F"/>
    <s v="Female"/>
    <x v="2"/>
    <x v="0"/>
    <s v="STORES"/>
  </r>
  <r>
    <x v="366"/>
    <d v="2010-06-14T00:00:00"/>
    <d v="2020-02-01T00:00:00"/>
    <n v="10"/>
    <m/>
    <s v="Cranbrook"/>
    <s v="Meats"/>
    <s v="Meat Cutter"/>
    <n v="8"/>
    <s v="F"/>
    <s v="Female"/>
    <x v="0"/>
    <x v="0"/>
    <s v="STORES"/>
  </r>
  <r>
    <x v="367"/>
    <d v="2003-03-30T00:00:00"/>
    <d v="2020-09-26T00:00:00"/>
    <n v="17"/>
    <m/>
    <s v="Kamloops"/>
    <s v="Meats"/>
    <s v="Meat Cutter"/>
    <n v="15"/>
    <s v="F"/>
    <s v="Female"/>
    <x v="0"/>
    <x v="0"/>
    <s v="STORES"/>
  </r>
  <r>
    <x v="368"/>
    <d v="2009-06-18T00:00:00"/>
    <d v="2020-12-05T00:00:00"/>
    <n v="11"/>
    <m/>
    <s v="Trail"/>
    <s v="Meats"/>
    <s v="Meat Cutter"/>
    <n v="33"/>
    <s v="F"/>
    <s v="Female"/>
    <x v="0"/>
    <x v="0"/>
    <s v="STORES"/>
  </r>
  <r>
    <x v="369"/>
    <d v="1998-11-26T00:00:00"/>
    <d v="2020-04-12T00:00:00"/>
    <n v="22"/>
    <m/>
    <s v="Quesnel"/>
    <s v="Dairy"/>
    <s v="Dairy Person"/>
    <n v="28"/>
    <s v="F"/>
    <s v="Female"/>
    <x v="0"/>
    <x v="0"/>
    <s v="STORES"/>
  </r>
  <r>
    <x v="370"/>
    <d v="1996-11-24T00:00:00"/>
    <d v="2020-08-30T00:00:00"/>
    <n v="24"/>
    <m/>
    <s v="North Vancouver"/>
    <s v="Meats"/>
    <s v="Meat Cutter"/>
    <n v="22"/>
    <s v="M"/>
    <s v="Male"/>
    <x v="1"/>
    <x v="0"/>
    <s v="STORES"/>
  </r>
  <r>
    <x v="371"/>
    <d v="1996-05-21T00:00:00"/>
    <d v="2020-12-13T00:00:00"/>
    <n v="24"/>
    <m/>
    <s v="Vancouver"/>
    <s v="Dairy"/>
    <s v="Dairy Person"/>
    <n v="35"/>
    <s v="F"/>
    <s v="Female"/>
    <x v="0"/>
    <x v="0"/>
    <s v="STORES"/>
  </r>
  <r>
    <x v="372"/>
    <d v="1996-10-10T00:00:00"/>
    <d v="2020-07-13T00:00:00"/>
    <n v="24"/>
    <m/>
    <s v="Kelowna"/>
    <s v="Meats"/>
    <s v="Meat Cutter"/>
    <n v="16"/>
    <s v="F"/>
    <s v="Female"/>
    <x v="0"/>
    <x v="0"/>
    <s v="STORES"/>
  </r>
  <r>
    <x v="373"/>
    <d v="1998-08-15T00:00:00"/>
    <d v="2020-08-16T00:00:00"/>
    <n v="22"/>
    <m/>
    <s v="Vancouver"/>
    <s v="Dairy"/>
    <s v="Dairy Person"/>
    <n v="35"/>
    <s v="F"/>
    <s v="Female"/>
    <x v="0"/>
    <x v="0"/>
    <s v="STORES"/>
  </r>
  <r>
    <x v="374"/>
    <d v="2002-09-02T00:00:00"/>
    <d v="2020-04-19T00:00:00"/>
    <n v="18"/>
    <m/>
    <s v="Trail"/>
    <s v="Meats"/>
    <s v="Meat Cutter"/>
    <n v="33"/>
    <s v="F"/>
    <s v="Female"/>
    <x v="0"/>
    <x v="0"/>
    <s v="STORES"/>
  </r>
  <r>
    <x v="375"/>
    <d v="1995-06-28T00:00:00"/>
    <d v="2020-01-08T00:00:00"/>
    <n v="25"/>
    <m/>
    <s v="Victoria"/>
    <s v="Meats"/>
    <s v="Meat Cutter"/>
    <n v="46"/>
    <s v="M"/>
    <s v="Male"/>
    <x v="1"/>
    <x v="0"/>
    <s v="STORES"/>
  </r>
  <r>
    <x v="376"/>
    <d v="2012-07-10T00:00:00"/>
    <d v="2020-11-25T00:00:00"/>
    <n v="8"/>
    <m/>
    <s v="Richmond"/>
    <s v="Meats"/>
    <s v="Meat Cutter"/>
    <n v="29"/>
    <s v="F"/>
    <s v="Female"/>
    <x v="0"/>
    <x v="0"/>
    <s v="STORES"/>
  </r>
  <r>
    <x v="377"/>
    <d v="1996-03-27T00:00:00"/>
    <d v="2020-06-04T00:00:00"/>
    <n v="24"/>
    <m/>
    <s v="Ocean Falls"/>
    <s v="Dairy"/>
    <s v="Dairy Person"/>
    <n v="23"/>
    <s v="F"/>
    <s v="Female"/>
    <x v="2"/>
    <x v="0"/>
    <s v="STORES"/>
  </r>
  <r>
    <x v="378"/>
    <d v="2011-06-11T00:00:00"/>
    <d v="2020-02-16T00:00:00"/>
    <n v="9"/>
    <m/>
    <s v="Nanaimo"/>
    <s v="Meats"/>
    <s v="Meat Cutter"/>
    <n v="18"/>
    <s v="F"/>
    <s v="Female"/>
    <x v="0"/>
    <x v="0"/>
    <s v="STORES"/>
  </r>
  <r>
    <x v="379"/>
    <d v="2006-11-15T00:00:00"/>
    <d v="2020-08-05T00:00:00"/>
    <n v="14"/>
    <m/>
    <s v="Victoria"/>
    <s v="Produce"/>
    <s v="Produce Clerk"/>
    <n v="46"/>
    <s v="F"/>
    <s v="Female"/>
    <x v="1"/>
    <x v="0"/>
    <s v="STORES"/>
  </r>
  <r>
    <x v="380"/>
    <d v="1996-08-14T00:00:00"/>
    <d v="2020-05-01T00:00:00"/>
    <n v="24"/>
    <m/>
    <s v="Vancouver"/>
    <s v="Dairy"/>
    <s v="Dairy Person"/>
    <n v="35"/>
    <s v="F"/>
    <s v="Female"/>
    <x v="0"/>
    <x v="0"/>
    <s v="STORES"/>
  </r>
  <r>
    <x v="381"/>
    <d v="2003-11-27T00:00:00"/>
    <d v="2020-10-29T00:00:00"/>
    <n v="17"/>
    <m/>
    <s v="Vancouver"/>
    <s v="Dairy"/>
    <s v="Dairy Person"/>
    <n v="35"/>
    <s v="F"/>
    <s v="Female"/>
    <x v="0"/>
    <x v="0"/>
    <s v="STORES"/>
  </r>
  <r>
    <x v="382"/>
    <d v="2002-05-04T00:00:00"/>
    <d v="2020-01-12T00:00:00"/>
    <n v="18"/>
    <m/>
    <s v="Prince George"/>
    <s v="Meats"/>
    <s v="Meat Cutter"/>
    <n v="26"/>
    <s v="F"/>
    <s v="Female"/>
    <x v="0"/>
    <x v="0"/>
    <s v="STORES"/>
  </r>
  <r>
    <x v="383"/>
    <d v="1992-08-20T00:00:00"/>
    <d v="2020-11-15T00:00:00"/>
    <n v="28"/>
    <m/>
    <s v="Victoria"/>
    <s v="Meats"/>
    <s v="Meat Cutter"/>
    <n v="37"/>
    <s v="F"/>
    <s v="Female"/>
    <x v="0"/>
    <x v="0"/>
    <s v="STORES"/>
  </r>
  <r>
    <x v="384"/>
    <d v="2006-09-04T00:00:00"/>
    <d v="2020-01-01T00:00:00"/>
    <n v="14"/>
    <m/>
    <s v="Victoria"/>
    <s v="Meats"/>
    <s v="Meat Cutter"/>
    <n v="37"/>
    <s v="F"/>
    <s v="Female"/>
    <x v="0"/>
    <x v="0"/>
    <s v="STORES"/>
  </r>
  <r>
    <x v="385"/>
    <d v="1994-09-06T00:00:00"/>
    <d v="2020-06-24T00:00:00"/>
    <n v="26"/>
    <m/>
    <s v="Vancouver"/>
    <s v="Dairy"/>
    <s v="Dairy Person"/>
    <n v="35"/>
    <s v="F"/>
    <s v="Female"/>
    <x v="0"/>
    <x v="0"/>
    <s v="STORES"/>
  </r>
  <r>
    <x v="386"/>
    <d v="1991-06-02T00:00:00"/>
    <d v="2020-03-25T00:00:00"/>
    <n v="29"/>
    <m/>
    <s v="Richmond"/>
    <s v="Meats"/>
    <s v="Meat Cutter"/>
    <n v="29"/>
    <s v="F"/>
    <s v="Female"/>
    <x v="0"/>
    <x v="0"/>
    <s v="STORES"/>
  </r>
  <r>
    <x v="387"/>
    <d v="1998-10-31T00:00:00"/>
    <d v="2020-01-14T00:00:00"/>
    <n v="22"/>
    <m/>
    <s v="Fort St John"/>
    <s v="Meats"/>
    <s v="Meat Cutter"/>
    <n v="12"/>
    <s v="F"/>
    <s v="Female"/>
    <x v="0"/>
    <x v="0"/>
    <s v="STORES"/>
  </r>
  <r>
    <x v="388"/>
    <d v="2003-07-17T00:00:00"/>
    <d v="2020-02-10T00:00:00"/>
    <n v="17"/>
    <m/>
    <s v="Richmond"/>
    <s v="Meats"/>
    <s v="Meat Cutter"/>
    <n v="29"/>
    <s v="F"/>
    <s v="Female"/>
    <x v="0"/>
    <x v="0"/>
    <s v="STORES"/>
  </r>
  <r>
    <x v="389"/>
    <d v="2011-03-16T00:00:00"/>
    <d v="2020-12-29T00:00:00"/>
    <n v="9"/>
    <m/>
    <s v="Kamloops"/>
    <s v="Meats"/>
    <s v="Meat Cutter"/>
    <n v="15"/>
    <s v="F"/>
    <s v="Female"/>
    <x v="1"/>
    <x v="0"/>
    <s v="STORES"/>
  </r>
  <r>
    <x v="390"/>
    <d v="1992-03-19T00:00:00"/>
    <d v="2020-11-21T00:00:00"/>
    <n v="28"/>
    <m/>
    <s v="Kelowna"/>
    <s v="Meats"/>
    <s v="Meat Cutter"/>
    <n v="16"/>
    <s v="F"/>
    <s v="Female"/>
    <x v="0"/>
    <x v="0"/>
    <s v="STORES"/>
  </r>
  <r>
    <x v="391"/>
    <d v="2002-11-14T00:00:00"/>
    <d v="2020-06-04T00:00:00"/>
    <n v="18"/>
    <m/>
    <s v="Kamloops"/>
    <s v="Produce"/>
    <s v="Produce Clerk"/>
    <n v="15"/>
    <s v="F"/>
    <s v="Female"/>
    <x v="0"/>
    <x v="0"/>
    <s v="STORES"/>
  </r>
  <r>
    <x v="392"/>
    <d v="1999-08-27T00:00:00"/>
    <d v="2020-12-02T00:00:00"/>
    <n v="21"/>
    <m/>
    <s v="North Vancouver"/>
    <s v="Meats"/>
    <s v="Meat Cutter"/>
    <n v="22"/>
    <s v="F"/>
    <s v="Female"/>
    <x v="0"/>
    <x v="0"/>
    <s v="STORES"/>
  </r>
  <r>
    <x v="393"/>
    <d v="2015-08-06T00:00:00"/>
    <d v="2020-02-14T00:00:00"/>
    <n v="5"/>
    <m/>
    <s v="Vancouver"/>
    <s v="Dairy"/>
    <s v="Dairy Person"/>
    <n v="35"/>
    <s v="F"/>
    <s v="Female"/>
    <x v="0"/>
    <x v="0"/>
    <s v="STORES"/>
  </r>
  <r>
    <x v="394"/>
    <d v="1994-10-29T00:00:00"/>
    <d v="2020-03-01T00:00:00"/>
    <n v="26"/>
    <m/>
    <s v="Victoria"/>
    <s v="Meats"/>
    <s v="Meat Cutter"/>
    <n v="37"/>
    <s v="F"/>
    <s v="Female"/>
    <x v="0"/>
    <x v="0"/>
    <s v="STORES"/>
  </r>
  <r>
    <x v="395"/>
    <d v="1993-12-18T00:00:00"/>
    <d v="2020-06-22T00:00:00"/>
    <n v="27"/>
    <m/>
    <s v="Prince George"/>
    <s v="Meats"/>
    <s v="Meat Cutter"/>
    <n v="26"/>
    <s v="F"/>
    <s v="Female"/>
    <x v="0"/>
    <x v="0"/>
    <s v="STORES"/>
  </r>
  <r>
    <x v="396"/>
    <d v="2011-01-01T00:00:00"/>
    <d v="2020-11-28T00:00:00"/>
    <n v="9"/>
    <m/>
    <s v="Kamloops"/>
    <s v="Produce"/>
    <s v="Produce Clerk"/>
    <n v="15"/>
    <s v="F"/>
    <s v="Female"/>
    <x v="0"/>
    <x v="0"/>
    <s v="STORES"/>
  </r>
  <r>
    <x v="397"/>
    <d v="2008-07-23T00:00:00"/>
    <d v="2020-02-17T00:00:00"/>
    <n v="12"/>
    <m/>
    <s v="New Westminster"/>
    <s v="Meats"/>
    <s v="Meat Cutter"/>
    <n v="21"/>
    <s v="F"/>
    <s v="Female"/>
    <x v="0"/>
    <x v="0"/>
    <s v="STORES"/>
  </r>
  <r>
    <x v="398"/>
    <d v="2002-01-28T00:00:00"/>
    <d v="2020-07-03T00:00:00"/>
    <n v="18"/>
    <m/>
    <s v="Dawson Creek"/>
    <s v="Produce"/>
    <s v="Produce Clerk"/>
    <n v="9"/>
    <s v="F"/>
    <s v="Female"/>
    <x v="0"/>
    <x v="0"/>
    <s v="STORES"/>
  </r>
  <r>
    <x v="399"/>
    <d v="1997-07-13T00:00:00"/>
    <d v="2020-11-15T00:00:00"/>
    <n v="23"/>
    <m/>
    <s v="Nanaimo"/>
    <s v="Meats"/>
    <s v="Meat Cutter"/>
    <n v="18"/>
    <s v="F"/>
    <s v="Female"/>
    <x v="0"/>
    <x v="0"/>
    <s v="STORES"/>
  </r>
  <r>
    <x v="400"/>
    <d v="2002-02-24T00:00:00"/>
    <d v="2020-03-02T00:00:00"/>
    <n v="18"/>
    <m/>
    <s v="Fort Nelson"/>
    <s v="Dairy"/>
    <s v="Dairy Person"/>
    <n v="11"/>
    <s v="M"/>
    <s v="Male"/>
    <x v="2"/>
    <x v="0"/>
    <s v="STORES"/>
  </r>
  <r>
    <x v="401"/>
    <d v="2007-02-25T00:00:00"/>
    <d v="2020-11-07T00:00:00"/>
    <n v="13"/>
    <m/>
    <s v="Richmond"/>
    <s v="Meats"/>
    <s v="Meat Cutter"/>
    <n v="29"/>
    <s v="F"/>
    <s v="Female"/>
    <x v="0"/>
    <x v="0"/>
    <s v="STORES"/>
  </r>
  <r>
    <x v="402"/>
    <d v="2010-11-24T00:00:00"/>
    <d v="2020-02-14T00:00:00"/>
    <n v="10"/>
    <m/>
    <s v="Aldergrove"/>
    <s v="Meats"/>
    <s v="Meat Cutter"/>
    <n v="2"/>
    <s v="F"/>
    <s v="Female"/>
    <x v="0"/>
    <x v="0"/>
    <s v="STORES"/>
  </r>
  <r>
    <x v="403"/>
    <d v="2010-06-03T00:00:00"/>
    <d v="2020-07-11T00:00:00"/>
    <n v="10"/>
    <m/>
    <s v="Vancouver"/>
    <s v="Customer Service"/>
    <s v="Cashier"/>
    <n v="41"/>
    <s v="M"/>
    <s v="Male"/>
    <x v="1"/>
    <x v="0"/>
    <s v="STORES"/>
  </r>
  <r>
    <x v="404"/>
    <d v="2008-01-07T00:00:00"/>
    <d v="2020-08-18T00:00:00"/>
    <n v="12"/>
    <m/>
    <s v="Surrey"/>
    <s v="Meats"/>
    <s v="Meat Cutter"/>
    <n v="31"/>
    <s v="F"/>
    <s v="Female"/>
    <x v="0"/>
    <x v="0"/>
    <s v="STORES"/>
  </r>
  <r>
    <x v="405"/>
    <d v="2005-09-29T00:00:00"/>
    <d v="2020-08-19T00:00:00"/>
    <n v="15"/>
    <m/>
    <s v="Vancouver"/>
    <s v="Dairy"/>
    <s v="Dairy Person"/>
    <n v="35"/>
    <s v="F"/>
    <s v="Female"/>
    <x v="0"/>
    <x v="0"/>
    <s v="STORES"/>
  </r>
  <r>
    <x v="406"/>
    <d v="2001-08-30T00:00:00"/>
    <d v="2020-08-21T00:00:00"/>
    <n v="19"/>
    <m/>
    <s v="Terrace"/>
    <s v="Dairy"/>
    <s v="Dairy Person"/>
    <n v="32"/>
    <s v="F"/>
    <s v="Female"/>
    <x v="0"/>
    <x v="0"/>
    <s v="STORES"/>
  </r>
  <r>
    <x v="407"/>
    <d v="1996-10-02T00:00:00"/>
    <d v="2020-11-26T00:00:00"/>
    <n v="24"/>
    <m/>
    <s v="New Westminister"/>
    <s v="Bakery"/>
    <s v="Bakery Manager"/>
    <n v="20"/>
    <s v="F"/>
    <s v="Female"/>
    <x v="2"/>
    <x v="0"/>
    <s v="STORES"/>
  </r>
  <r>
    <x v="408"/>
    <d v="2000-08-16T00:00:00"/>
    <d v="2020-11-25T00:00:00"/>
    <n v="20"/>
    <m/>
    <s v="New Westminster"/>
    <s v="Meats"/>
    <s v="Meat Cutter"/>
    <n v="21"/>
    <s v="F"/>
    <s v="Female"/>
    <x v="0"/>
    <x v="0"/>
    <s v="STORES"/>
  </r>
  <r>
    <x v="409"/>
    <d v="2004-11-11T00:00:00"/>
    <d v="2020-11-22T00:00:00"/>
    <n v="16"/>
    <m/>
    <s v="Vancouver"/>
    <s v="Dairy"/>
    <s v="Dairy Person"/>
    <n v="35"/>
    <s v="F"/>
    <s v="Female"/>
    <x v="0"/>
    <x v="0"/>
    <s v="STORES"/>
  </r>
  <r>
    <x v="410"/>
    <d v="2001-03-08T00:00:00"/>
    <d v="2020-05-16T00:00:00"/>
    <n v="19"/>
    <m/>
    <s v="Victoria"/>
    <s v="Meats"/>
    <s v="Meat Cutter"/>
    <n v="37"/>
    <s v="F"/>
    <s v="Female"/>
    <x v="0"/>
    <x v="0"/>
    <s v="STORES"/>
  </r>
  <r>
    <x v="411"/>
    <d v="2013-03-11T00:00:00"/>
    <d v="2020-10-22T00:00:00"/>
    <n v="7"/>
    <m/>
    <s v="Kamloops"/>
    <s v="Produce"/>
    <s v="Produce Clerk"/>
    <n v="15"/>
    <s v="F"/>
    <s v="Female"/>
    <x v="0"/>
    <x v="0"/>
    <s v="STORES"/>
  </r>
  <r>
    <x v="412"/>
    <d v="1993-09-18T00:00:00"/>
    <d v="2020-08-03T00:00:00"/>
    <n v="27"/>
    <m/>
    <s v="Vancouver"/>
    <s v="Dairy"/>
    <s v="Dairy Person"/>
    <n v="35"/>
    <s v="F"/>
    <s v="Female"/>
    <x v="0"/>
    <x v="0"/>
    <s v="STORES"/>
  </r>
  <r>
    <x v="413"/>
    <d v="1997-01-02T00:00:00"/>
    <d v="2020-10-19T00:00:00"/>
    <n v="23"/>
    <m/>
    <s v="White Rock"/>
    <s v="Dairy"/>
    <s v="Dairy Person"/>
    <n v="39"/>
    <s v="F"/>
    <s v="Female"/>
    <x v="2"/>
    <x v="0"/>
    <s v="STORES"/>
  </r>
  <r>
    <x v="414"/>
    <d v="2003-10-18T00:00:00"/>
    <d v="2020-07-07T00:00:00"/>
    <n v="17"/>
    <m/>
    <s v="Nanaimo"/>
    <s v="Meats"/>
    <s v="Meat Cutter"/>
    <n v="18"/>
    <s v="F"/>
    <s v="Female"/>
    <x v="0"/>
    <x v="0"/>
    <s v="STORES"/>
  </r>
  <r>
    <x v="415"/>
    <d v="2001-11-26T00:00:00"/>
    <d v="2020-04-06T00:00:00"/>
    <n v="19"/>
    <m/>
    <s v="Surrey"/>
    <s v="Meats"/>
    <s v="Meat Cutter"/>
    <n v="31"/>
    <s v="F"/>
    <s v="Female"/>
    <x v="0"/>
    <x v="0"/>
    <s v="STORES"/>
  </r>
  <r>
    <x v="416"/>
    <d v="2007-05-25T00:00:00"/>
    <d v="2020-03-30T00:00:00"/>
    <n v="13"/>
    <m/>
    <s v="Terrace"/>
    <s v="Meats"/>
    <s v="Meat Cutter"/>
    <n v="32"/>
    <s v="F"/>
    <s v="Female"/>
    <x v="0"/>
    <x v="0"/>
    <s v="STORES"/>
  </r>
  <r>
    <x v="417"/>
    <d v="1995-09-15T00:00:00"/>
    <d v="2020-02-18T00:00:00"/>
    <n v="25"/>
    <m/>
    <s v="Princeton"/>
    <s v="Meats"/>
    <s v="Meat Cutter"/>
    <n v="27"/>
    <s v="F"/>
    <s v="Female"/>
    <x v="0"/>
    <x v="0"/>
    <s v="STORES"/>
  </r>
  <r>
    <x v="418"/>
    <d v="1991-10-08T00:00:00"/>
    <d v="2020-06-14T00:00:00"/>
    <n v="29"/>
    <m/>
    <s v="White Rock"/>
    <s v="Dairy"/>
    <s v="Dairy Person"/>
    <n v="39"/>
    <s v="F"/>
    <s v="Female"/>
    <x v="0"/>
    <x v="0"/>
    <s v="STORES"/>
  </r>
  <r>
    <x v="419"/>
    <d v="1996-01-20T00:00:00"/>
    <d v="2020-04-28T00:00:00"/>
    <n v="24"/>
    <m/>
    <s v="Surrey"/>
    <s v="Meats"/>
    <s v="Meat Cutter"/>
    <n v="31"/>
    <s v="F"/>
    <s v="Female"/>
    <x v="0"/>
    <x v="0"/>
    <s v="STORES"/>
  </r>
  <r>
    <x v="420"/>
    <d v="1996-07-27T00:00:00"/>
    <d v="2020-07-16T00:00:00"/>
    <n v="24"/>
    <m/>
    <s v="Nanaimo"/>
    <s v="Meats"/>
    <s v="Meat Cutter"/>
    <n v="18"/>
    <s v="F"/>
    <s v="Female"/>
    <x v="0"/>
    <x v="0"/>
    <s v="STORES"/>
  </r>
  <r>
    <x v="421"/>
    <d v="2000-04-23T00:00:00"/>
    <d v="2020-07-10T00:00:00"/>
    <n v="20"/>
    <m/>
    <s v="Surrey"/>
    <s v="Meats"/>
    <s v="Meat Cutter"/>
    <n v="31"/>
    <s v="F"/>
    <s v="Female"/>
    <x v="2"/>
    <x v="0"/>
    <s v="STORES"/>
  </r>
  <r>
    <x v="422"/>
    <d v="2001-12-08T00:00:00"/>
    <d v="2020-06-30T00:00:00"/>
    <n v="19"/>
    <m/>
    <s v="Nanaimo"/>
    <s v="Meats"/>
    <s v="Meat Cutter"/>
    <n v="18"/>
    <s v="F"/>
    <s v="Female"/>
    <x v="2"/>
    <x v="0"/>
    <s v="STORES"/>
  </r>
  <r>
    <x v="423"/>
    <d v="2013-12-22T00:00:00"/>
    <d v="2020-09-17T00:00:00"/>
    <n v="7"/>
    <m/>
    <s v="West Vancouver"/>
    <s v="Meats"/>
    <s v="Meat Cutter"/>
    <n v="38"/>
    <s v="F"/>
    <s v="Female"/>
    <x v="2"/>
    <x v="0"/>
    <s v="STORES"/>
  </r>
  <r>
    <x v="424"/>
    <d v="1994-10-23T00:00:00"/>
    <d v="2020-02-01T00:00:00"/>
    <n v="26"/>
    <m/>
    <s v="Chilliwack"/>
    <s v="Meats"/>
    <s v="Meat Cutter"/>
    <n v="6"/>
    <s v="F"/>
    <s v="Female"/>
    <x v="2"/>
    <x v="0"/>
    <s v="STORES"/>
  </r>
  <r>
    <x v="425"/>
    <d v="2014-09-15T00:00:00"/>
    <d v="2020-03-22T00:00:00"/>
    <n v="6"/>
    <m/>
    <s v="Terrace"/>
    <s v="Meats"/>
    <s v="Meat Cutter"/>
    <n v="32"/>
    <s v="F"/>
    <s v="Female"/>
    <x v="2"/>
    <x v="0"/>
    <s v="STORES"/>
  </r>
  <r>
    <x v="426"/>
    <d v="2000-04-03T00:00:00"/>
    <d v="2020-03-15T00:00:00"/>
    <n v="20"/>
    <m/>
    <s v="Vancouver"/>
    <s v="Dairy"/>
    <s v="Dairy Person"/>
    <n v="35"/>
    <s v="F"/>
    <s v="Female"/>
    <x v="2"/>
    <x v="0"/>
    <s v="STORES"/>
  </r>
  <r>
    <x v="427"/>
    <d v="1994-11-13T00:00:00"/>
    <d v="2020-10-19T00:00:00"/>
    <n v="26"/>
    <m/>
    <s v="Ocean Falls"/>
    <s v="Dairy"/>
    <s v="Dairy Person"/>
    <n v="23"/>
    <s v="M"/>
    <s v="Male"/>
    <x v="2"/>
    <x v="0"/>
    <s v="STORES"/>
  </r>
  <r>
    <x v="428"/>
    <d v="1996-09-24T00:00:00"/>
    <d v="2020-10-26T00:00:00"/>
    <n v="24"/>
    <m/>
    <s v="Victoria"/>
    <s v="Meats"/>
    <s v="Meat Cutter"/>
    <n v="37"/>
    <s v="F"/>
    <s v="Female"/>
    <x v="2"/>
    <x v="0"/>
    <s v="STORES"/>
  </r>
  <r>
    <x v="429"/>
    <d v="2011-10-23T00:00:00"/>
    <d v="2020-05-10T00:00:00"/>
    <n v="9"/>
    <m/>
    <s v="Vancouver"/>
    <s v="Dairy"/>
    <s v="Dairy Person"/>
    <n v="35"/>
    <s v="F"/>
    <s v="Female"/>
    <x v="2"/>
    <x v="0"/>
    <s v="STORES"/>
  </r>
  <r>
    <x v="430"/>
    <d v="2006-11-27T00:00:00"/>
    <d v="2020-04-09T00:00:00"/>
    <n v="14"/>
    <m/>
    <s v="Victoria"/>
    <s v="Meats"/>
    <s v="Meat Cutter"/>
    <n v="37"/>
    <s v="F"/>
    <s v="Female"/>
    <x v="2"/>
    <x v="0"/>
    <s v="STORES"/>
  </r>
  <r>
    <x v="431"/>
    <d v="1993-04-20T00:00:00"/>
    <d v="2020-03-05T00:00:00"/>
    <n v="27"/>
    <m/>
    <s v="Victoria"/>
    <s v="Meats"/>
    <s v="Meat Cutter"/>
    <n v="37"/>
    <s v="F"/>
    <s v="Female"/>
    <x v="2"/>
    <x v="0"/>
    <s v="STORES"/>
  </r>
  <r>
    <x v="432"/>
    <d v="1995-03-06T00:00:00"/>
    <d v="2020-05-21T00:00:00"/>
    <n v="25"/>
    <m/>
    <s v="Terrace"/>
    <s v="Meats"/>
    <s v="Meat Cutter"/>
    <n v="32"/>
    <s v="F"/>
    <s v="Female"/>
    <x v="2"/>
    <x v="0"/>
    <s v="STORES"/>
  </r>
  <r>
    <x v="433"/>
    <d v="2014-08-26T00:00:00"/>
    <d v="2020-08-27T00:00:00"/>
    <n v="6"/>
    <m/>
    <s v="Kelowna"/>
    <s v="Meats"/>
    <s v="Meat Cutter"/>
    <n v="16"/>
    <s v="F"/>
    <s v="Female"/>
    <x v="2"/>
    <x v="0"/>
    <s v="STORES"/>
  </r>
  <r>
    <x v="434"/>
    <d v="1996-01-25T00:00:00"/>
    <d v="2020-12-30T00:00:00"/>
    <n v="24"/>
    <m/>
    <s v="Squamish"/>
    <s v="Meats"/>
    <s v="Meat Cutter"/>
    <n v="30"/>
    <s v="F"/>
    <s v="Female"/>
    <x v="2"/>
    <x v="0"/>
    <s v="STORES"/>
  </r>
  <r>
    <x v="435"/>
    <d v="2005-05-26T00:00:00"/>
    <d v="2020-05-01T00:00:00"/>
    <n v="15"/>
    <m/>
    <s v="Terrace"/>
    <s v="Meats"/>
    <s v="Meat Cutter"/>
    <n v="32"/>
    <s v="F"/>
    <s v="Female"/>
    <x v="2"/>
    <x v="0"/>
    <s v="STORES"/>
  </r>
  <r>
    <x v="436"/>
    <d v="2005-10-23T00:00:00"/>
    <d v="2020-07-25T00:00:00"/>
    <n v="15"/>
    <m/>
    <s v="Victoria"/>
    <s v="Meats"/>
    <s v="Meat Cutter"/>
    <n v="37"/>
    <s v="F"/>
    <s v="Female"/>
    <x v="0"/>
    <x v="0"/>
    <s v="STORES"/>
  </r>
  <r>
    <x v="437"/>
    <d v="2014-03-06T00:00:00"/>
    <d v="2020-01-17T00:00:00"/>
    <n v="6"/>
    <m/>
    <s v="Langley"/>
    <s v="Meats"/>
    <s v="Meat Cutter"/>
    <n v="17"/>
    <s v="F"/>
    <s v="Female"/>
    <x v="0"/>
    <x v="0"/>
    <s v="STORES"/>
  </r>
  <r>
    <x v="438"/>
    <d v="1998-05-17T00:00:00"/>
    <d v="2020-10-24T00:00:00"/>
    <n v="22"/>
    <m/>
    <s v="Vancouver"/>
    <s v="Dairy"/>
    <s v="Dairy Person"/>
    <n v="35"/>
    <s v="F"/>
    <s v="Female"/>
    <x v="0"/>
    <x v="0"/>
    <s v="STORES"/>
  </r>
  <r>
    <x v="439"/>
    <d v="1996-09-18T00:00:00"/>
    <d v="2020-07-11T00:00:00"/>
    <n v="24"/>
    <m/>
    <s v="Nanaimo"/>
    <s v="Meats"/>
    <s v="Meat Cutter"/>
    <n v="18"/>
    <s v="F"/>
    <s v="Female"/>
    <x v="0"/>
    <x v="0"/>
    <s v="STORES"/>
  </r>
  <r>
    <x v="440"/>
    <d v="1997-11-24T00:00:00"/>
    <d v="2020-09-15T00:00:00"/>
    <n v="23"/>
    <m/>
    <s v="Surrey"/>
    <s v="Meats"/>
    <s v="Meat Cutter"/>
    <n v="31"/>
    <s v="F"/>
    <s v="Female"/>
    <x v="0"/>
    <x v="0"/>
    <s v="STORES"/>
  </r>
  <r>
    <x v="441"/>
    <d v="1996-01-21T00:00:00"/>
    <d v="2020-04-28T00:00:00"/>
    <n v="24"/>
    <m/>
    <s v="Terrace"/>
    <s v="Meats"/>
    <s v="Meat Cutter"/>
    <n v="32"/>
    <s v="F"/>
    <s v="Female"/>
    <x v="0"/>
    <x v="0"/>
    <s v="STORES"/>
  </r>
  <r>
    <x v="442"/>
    <d v="2011-10-13T00:00:00"/>
    <d v="2020-08-28T00:00:00"/>
    <n v="9"/>
    <m/>
    <s v="Victoria"/>
    <s v="Meats"/>
    <s v="Meat Cutter"/>
    <n v="37"/>
    <s v="F"/>
    <s v="Female"/>
    <x v="0"/>
    <x v="0"/>
    <s v="STORES"/>
  </r>
  <r>
    <x v="443"/>
    <d v="1991-09-15T00:00:00"/>
    <d v="2020-01-03T00:00:00"/>
    <n v="29"/>
    <m/>
    <s v="Nanaimo"/>
    <s v="Meats"/>
    <s v="Meat Cutter"/>
    <n v="18"/>
    <s v="F"/>
    <s v="Female"/>
    <x v="0"/>
    <x v="0"/>
    <s v="STORES"/>
  </r>
  <r>
    <x v="444"/>
    <d v="1999-07-23T00:00:00"/>
    <d v="2020-06-15T00:00:00"/>
    <n v="21"/>
    <m/>
    <s v="Nanaimo"/>
    <s v="Meats"/>
    <s v="Meat Cutter"/>
    <n v="18"/>
    <s v="F"/>
    <s v="Female"/>
    <x v="0"/>
    <x v="0"/>
    <s v="STORES"/>
  </r>
  <r>
    <x v="445"/>
    <d v="2013-09-21T00:00:00"/>
    <d v="2020-09-15T00:00:00"/>
    <n v="7"/>
    <m/>
    <s v="Trail"/>
    <s v="Meats"/>
    <s v="Meat Cutter"/>
    <n v="33"/>
    <s v="F"/>
    <s v="Female"/>
    <x v="0"/>
    <x v="0"/>
    <s v="STORES"/>
  </r>
  <r>
    <x v="446"/>
    <d v="1993-09-30T00:00:00"/>
    <d v="2020-08-17T00:00:00"/>
    <n v="27"/>
    <m/>
    <s v="Richmond"/>
    <s v="Meats"/>
    <s v="Meat Cutter"/>
    <n v="29"/>
    <s v="F"/>
    <s v="Female"/>
    <x v="0"/>
    <x v="0"/>
    <s v="STORES"/>
  </r>
  <r>
    <x v="447"/>
    <d v="2008-03-07T00:00:00"/>
    <d v="2020-07-14T00:00:00"/>
    <n v="12"/>
    <m/>
    <s v="Vancouver"/>
    <s v="Dairy"/>
    <s v="Dairy Person"/>
    <n v="35"/>
    <s v="F"/>
    <s v="Female"/>
    <x v="0"/>
    <x v="0"/>
    <s v="STORES"/>
  </r>
  <r>
    <x v="448"/>
    <d v="1991-11-23T00:00:00"/>
    <d v="2020-06-10T00:00:00"/>
    <n v="29"/>
    <m/>
    <s v="Dease Lake"/>
    <s v="Dairy"/>
    <s v="Dairy Person"/>
    <n v="10"/>
    <s v="M"/>
    <s v="Male"/>
    <x v="2"/>
    <x v="0"/>
    <s v="STORES"/>
  </r>
  <r>
    <x v="449"/>
    <d v="2009-01-12T00:00:00"/>
    <d v="2020-04-14T00:00:00"/>
    <n v="11"/>
    <m/>
    <s v="Vancouver"/>
    <s v="Dairy"/>
    <s v="Dairy Person"/>
    <n v="35"/>
    <s v="F"/>
    <s v="Female"/>
    <x v="0"/>
    <x v="0"/>
    <s v="STORES"/>
  </r>
  <r>
    <x v="450"/>
    <d v="1991-09-05T00:00:00"/>
    <d v="2020-10-24T00:00:00"/>
    <n v="29"/>
    <m/>
    <s v="Langley"/>
    <s v="Meats"/>
    <s v="Meat Cutter"/>
    <n v="17"/>
    <s v="F"/>
    <s v="Female"/>
    <x v="0"/>
    <x v="0"/>
    <s v="STORES"/>
  </r>
  <r>
    <x v="451"/>
    <d v="2012-07-27T00:00:00"/>
    <d v="2020-07-12T00:00:00"/>
    <n v="8"/>
    <m/>
    <s v="Langley"/>
    <s v="Meats"/>
    <s v="Meat Cutter"/>
    <n v="17"/>
    <s v="F"/>
    <s v="Female"/>
    <x v="0"/>
    <x v="0"/>
    <s v="STORES"/>
  </r>
  <r>
    <x v="452"/>
    <d v="2003-08-03T00:00:00"/>
    <d v="2020-02-05T00:00:00"/>
    <n v="17"/>
    <m/>
    <s v="Langley"/>
    <s v="Meats"/>
    <s v="Meat Cutter"/>
    <n v="17"/>
    <s v="F"/>
    <s v="Female"/>
    <x v="0"/>
    <x v="0"/>
    <s v="STORES"/>
  </r>
  <r>
    <x v="453"/>
    <d v="1997-04-21T00:00:00"/>
    <d v="2020-03-31T00:00:00"/>
    <n v="23"/>
    <m/>
    <s v="Quesnel"/>
    <s v="Meats"/>
    <s v="Meat Cutter"/>
    <n v="28"/>
    <s v="F"/>
    <s v="Female"/>
    <x v="0"/>
    <x v="0"/>
    <s v="STORES"/>
  </r>
  <r>
    <x v="454"/>
    <d v="2001-07-14T00:00:00"/>
    <d v="2020-05-27T00:00:00"/>
    <n v="19"/>
    <m/>
    <s v="Nanaimo"/>
    <s v="Produce"/>
    <s v="Produce Clerk"/>
    <n v="18"/>
    <s v="M"/>
    <s v="Male"/>
    <x v="1"/>
    <x v="0"/>
    <s v="STORES"/>
  </r>
  <r>
    <x v="455"/>
    <d v="2001-12-13T00:00:00"/>
    <d v="2020-07-19T00:00:00"/>
    <n v="19"/>
    <m/>
    <s v="Nanaimo"/>
    <s v="Meats"/>
    <s v="Meat Cutter"/>
    <n v="18"/>
    <s v="F"/>
    <s v="Female"/>
    <x v="0"/>
    <x v="0"/>
    <s v="STORES"/>
  </r>
  <r>
    <x v="456"/>
    <d v="1998-07-20T00:00:00"/>
    <d v="2020-12-23T00:00:00"/>
    <n v="22"/>
    <m/>
    <s v="Squamish"/>
    <s v="Meats"/>
    <s v="Meat Cutter"/>
    <n v="30"/>
    <s v="F"/>
    <s v="Female"/>
    <x v="0"/>
    <x v="0"/>
    <s v="STORES"/>
  </r>
  <r>
    <x v="457"/>
    <d v="2005-03-10T00:00:00"/>
    <d v="2020-12-16T00:00:00"/>
    <n v="15"/>
    <m/>
    <s v="Nanaimo"/>
    <s v="Meats"/>
    <s v="Meat Cutter"/>
    <n v="18"/>
    <s v="F"/>
    <s v="Female"/>
    <x v="0"/>
    <x v="0"/>
    <s v="STORES"/>
  </r>
  <r>
    <x v="458"/>
    <d v="1990-11-26T00:00:00"/>
    <d v="2020-06-15T00:00:00"/>
    <n v="30"/>
    <m/>
    <s v="Fort St John"/>
    <s v="Produce"/>
    <s v="Produce Clerk"/>
    <n v="12"/>
    <s v="F"/>
    <s v="Female"/>
    <x v="0"/>
    <x v="0"/>
    <s v="STORES"/>
  </r>
  <r>
    <x v="459"/>
    <d v="2006-10-07T00:00:00"/>
    <d v="2020-07-19T00:00:00"/>
    <n v="14"/>
    <m/>
    <s v="Terrace"/>
    <s v="Meats"/>
    <s v="Meat Cutter"/>
    <n v="32"/>
    <s v="F"/>
    <s v="Female"/>
    <x v="0"/>
    <x v="0"/>
    <s v="STORES"/>
  </r>
  <r>
    <x v="460"/>
    <d v="2014-10-26T00:00:00"/>
    <d v="2020-05-21T00:00:00"/>
    <n v="6"/>
    <m/>
    <s v="Victoria"/>
    <s v="Meats"/>
    <s v="Meat Cutter"/>
    <n v="37"/>
    <s v="F"/>
    <s v="Female"/>
    <x v="0"/>
    <x v="0"/>
    <s v="STORES"/>
  </r>
  <r>
    <x v="461"/>
    <d v="2000-12-03T00:00:00"/>
    <d v="2020-04-16T00:00:00"/>
    <n v="20"/>
    <m/>
    <s v="Kamloops"/>
    <s v="Produce"/>
    <s v="Produce Clerk"/>
    <n v="15"/>
    <s v="F"/>
    <s v="Female"/>
    <x v="0"/>
    <x v="0"/>
    <s v="STORES"/>
  </r>
  <r>
    <x v="462"/>
    <d v="1995-09-11T00:00:00"/>
    <d v="2020-12-04T00:00:00"/>
    <n v="25"/>
    <m/>
    <s v="Prince George"/>
    <s v="Meats"/>
    <s v="Meat Cutter"/>
    <n v="26"/>
    <s v="F"/>
    <s v="Female"/>
    <x v="0"/>
    <x v="0"/>
    <s v="STORES"/>
  </r>
  <r>
    <x v="463"/>
    <d v="2010-05-22T00:00:00"/>
    <d v="2020-10-18T00:00:00"/>
    <n v="10"/>
    <m/>
    <s v="New Westminster"/>
    <s v="Meats"/>
    <s v="Meat Cutter"/>
    <n v="21"/>
    <s v="F"/>
    <s v="Female"/>
    <x v="0"/>
    <x v="0"/>
    <s v="STORES"/>
  </r>
  <r>
    <x v="464"/>
    <d v="2008-06-30T00:00:00"/>
    <d v="2020-05-09T00:00:00"/>
    <n v="12"/>
    <m/>
    <s v="Prince George"/>
    <s v="Meats"/>
    <s v="Meat Cutter"/>
    <n v="26"/>
    <s v="F"/>
    <s v="Female"/>
    <x v="0"/>
    <x v="0"/>
    <s v="STORES"/>
  </r>
  <r>
    <x v="465"/>
    <d v="1991-01-02T00:00:00"/>
    <d v="2020-07-30T00:00:00"/>
    <n v="29"/>
    <m/>
    <s v="Princeton"/>
    <s v="Meats"/>
    <s v="Meat Cutter"/>
    <n v="27"/>
    <s v="F"/>
    <s v="Female"/>
    <x v="2"/>
    <x v="0"/>
    <s v="STORES"/>
  </r>
  <r>
    <x v="466"/>
    <d v="2014-01-03T00:00:00"/>
    <d v="2020-05-22T00:00:00"/>
    <n v="6"/>
    <m/>
    <s v="Vancouver"/>
    <s v="Dairy"/>
    <s v="Dairy Person"/>
    <n v="35"/>
    <s v="F"/>
    <s v="Female"/>
    <x v="0"/>
    <x v="0"/>
    <s v="STORES"/>
  </r>
  <r>
    <x v="467"/>
    <d v="1993-01-22T00:00:00"/>
    <d v="2020-03-23T00:00:00"/>
    <n v="27"/>
    <m/>
    <s v="Nanaimo"/>
    <s v="Meats"/>
    <s v="Meat Cutter"/>
    <n v="18"/>
    <s v="F"/>
    <s v="Female"/>
    <x v="0"/>
    <x v="0"/>
    <s v="STORES"/>
  </r>
  <r>
    <x v="468"/>
    <d v="2001-12-15T00:00:00"/>
    <d v="2020-05-04T00:00:00"/>
    <n v="19"/>
    <m/>
    <s v="Vancouver"/>
    <s v="Dairy"/>
    <s v="Dairy Person"/>
    <n v="35"/>
    <s v="F"/>
    <s v="Female"/>
    <x v="0"/>
    <x v="0"/>
    <s v="STORES"/>
  </r>
  <r>
    <x v="469"/>
    <d v="2005-09-26T00:00:00"/>
    <d v="2020-09-29T00:00:00"/>
    <n v="15"/>
    <m/>
    <s v="Vancouver"/>
    <s v="Dairy"/>
    <s v="Dairy Person"/>
    <n v="35"/>
    <s v="F"/>
    <s v="Female"/>
    <x v="0"/>
    <x v="0"/>
    <s v="STORES"/>
  </r>
  <r>
    <x v="470"/>
    <d v="1994-10-19T00:00:00"/>
    <d v="2020-10-31T00:00:00"/>
    <n v="26"/>
    <m/>
    <s v="Surrey"/>
    <s v="Meats"/>
    <s v="Meat Cutter"/>
    <n v="31"/>
    <s v="M"/>
    <s v="Male"/>
    <x v="1"/>
    <x v="0"/>
    <s v="STORES"/>
  </r>
  <r>
    <x v="471"/>
    <d v="2013-12-03T00:00:00"/>
    <d v="2020-04-09T00:00:00"/>
    <n v="7"/>
    <m/>
    <s v="Vancouver"/>
    <s v="Dairy"/>
    <s v="Dairy Person"/>
    <n v="35"/>
    <s v="F"/>
    <s v="Female"/>
    <x v="0"/>
    <x v="0"/>
    <s v="STORES"/>
  </r>
  <r>
    <x v="472"/>
    <d v="2010-08-14T00:00:00"/>
    <d v="2020-05-31T00:00:00"/>
    <n v="10"/>
    <m/>
    <s v="Vancouver"/>
    <s v="Dairy"/>
    <s v="Dairy Person"/>
    <n v="35"/>
    <s v="F"/>
    <s v="Female"/>
    <x v="2"/>
    <x v="0"/>
    <s v="STORES"/>
  </r>
  <r>
    <x v="473"/>
    <d v="2010-11-18T00:00:00"/>
    <d v="2020-06-05T00:00:00"/>
    <n v="10"/>
    <m/>
    <s v="Victoria"/>
    <s v="Produce"/>
    <s v="Produce Clerk"/>
    <n v="46"/>
    <s v="M"/>
    <s v="Male"/>
    <x v="1"/>
    <x v="0"/>
    <s v="STORES"/>
  </r>
  <r>
    <x v="474"/>
    <d v="2002-09-02T00:00:00"/>
    <d v="2020-01-29T00:00:00"/>
    <n v="18"/>
    <m/>
    <s v="Kelowna"/>
    <s v="Produce"/>
    <s v="Produce Clerk"/>
    <n v="16"/>
    <s v="F"/>
    <s v="Female"/>
    <x v="2"/>
    <x v="0"/>
    <s v="STORES"/>
  </r>
  <r>
    <x v="475"/>
    <d v="2007-12-03T00:00:00"/>
    <d v="2020-01-01T00:00:00"/>
    <n v="13"/>
    <m/>
    <s v="Chilliwack"/>
    <s v="Meats"/>
    <s v="Meat Cutter"/>
    <n v="6"/>
    <s v="F"/>
    <s v="Female"/>
    <x v="2"/>
    <x v="0"/>
    <s v="STORES"/>
  </r>
  <r>
    <x v="476"/>
    <d v="2014-05-31T00:00:00"/>
    <d v="2020-11-27T00:00:00"/>
    <n v="6"/>
    <m/>
    <s v="Port Coquitlam"/>
    <s v="Meats"/>
    <s v="Meat Cutter"/>
    <n v="25"/>
    <s v="F"/>
    <s v="Female"/>
    <x v="2"/>
    <x v="0"/>
    <s v="STORES"/>
  </r>
  <r>
    <x v="477"/>
    <d v="1997-01-09T00:00:00"/>
    <d v="2020-05-05T00:00:00"/>
    <n v="23"/>
    <m/>
    <s v="Aldergrove"/>
    <s v="Produce"/>
    <s v="Produce Clerk"/>
    <n v="2"/>
    <s v="F"/>
    <s v="Female"/>
    <x v="2"/>
    <x v="0"/>
    <s v="STORES"/>
  </r>
  <r>
    <x v="478"/>
    <d v="2012-01-16T00:00:00"/>
    <d v="2020-10-09T00:00:00"/>
    <n v="8"/>
    <m/>
    <s v="Abbotsford"/>
    <s v="Produce"/>
    <s v="Produce Clerk"/>
    <n v="1"/>
    <s v="F"/>
    <s v="Female"/>
    <x v="2"/>
    <x v="0"/>
    <s v="STORES"/>
  </r>
  <r>
    <x v="479"/>
    <d v="1999-03-10T00:00:00"/>
    <d v="2020-01-08T00:00:00"/>
    <n v="21"/>
    <m/>
    <s v="Langley"/>
    <s v="Meats"/>
    <s v="Meat Cutter"/>
    <n v="17"/>
    <s v="F"/>
    <s v="Female"/>
    <x v="2"/>
    <x v="0"/>
    <s v="STORES"/>
  </r>
  <r>
    <x v="480"/>
    <d v="2011-02-22T00:00:00"/>
    <d v="2020-10-20T00:00:00"/>
    <n v="9"/>
    <m/>
    <s v="Kamloops"/>
    <s v="Produce"/>
    <s v="Produce Clerk"/>
    <n v="15"/>
    <s v="F"/>
    <s v="Female"/>
    <x v="2"/>
    <x v="0"/>
    <s v="STORES"/>
  </r>
  <r>
    <x v="481"/>
    <d v="2001-09-10T00:00:00"/>
    <d v="2020-11-07T00:00:00"/>
    <n v="19"/>
    <m/>
    <s v="Vancouver"/>
    <s v="Dairy"/>
    <s v="Dairy Person"/>
    <n v="35"/>
    <s v="F"/>
    <s v="Female"/>
    <x v="2"/>
    <x v="0"/>
    <s v="STORES"/>
  </r>
  <r>
    <x v="482"/>
    <d v="2002-06-18T00:00:00"/>
    <d v="2020-02-15T00:00:00"/>
    <n v="18"/>
    <m/>
    <s v="Prince George"/>
    <s v="Meats"/>
    <s v="Meat Cutter"/>
    <n v="26"/>
    <s v="F"/>
    <s v="Female"/>
    <x v="2"/>
    <x v="0"/>
    <s v="STORES"/>
  </r>
  <r>
    <x v="483"/>
    <d v="1993-10-03T00:00:00"/>
    <d v="2020-07-10T00:00:00"/>
    <n v="27"/>
    <m/>
    <s v="Nanaimo"/>
    <s v="Meats"/>
    <s v="Meat Cutter"/>
    <n v="18"/>
    <s v="F"/>
    <s v="Female"/>
    <x v="2"/>
    <x v="0"/>
    <s v="STORES"/>
  </r>
  <r>
    <x v="484"/>
    <d v="2013-12-24T00:00:00"/>
    <d v="2020-01-03T00:00:00"/>
    <n v="7"/>
    <m/>
    <s v="Victoria"/>
    <s v="Meats"/>
    <s v="Meat Cutter"/>
    <n v="37"/>
    <s v="F"/>
    <s v="Female"/>
    <x v="2"/>
    <x v="0"/>
    <s v="STORES"/>
  </r>
  <r>
    <x v="485"/>
    <d v="2000-05-18T00:00:00"/>
    <d v="2020-05-11T00:00:00"/>
    <n v="20"/>
    <m/>
    <s v="Grand Forks"/>
    <s v="Produce"/>
    <s v="Produce Manager"/>
    <n v="13"/>
    <s v="M"/>
    <s v="Male"/>
    <x v="2"/>
    <x v="0"/>
    <s v="STORES"/>
  </r>
  <r>
    <x v="486"/>
    <d v="2009-03-17T00:00:00"/>
    <d v="2020-03-20T00:00:00"/>
    <n v="11"/>
    <m/>
    <s v="Vancouver"/>
    <s v="Dairy"/>
    <s v="Dairy Person"/>
    <n v="35"/>
    <s v="F"/>
    <s v="Female"/>
    <x v="2"/>
    <x v="0"/>
    <s v="STORES"/>
  </r>
  <r>
    <x v="487"/>
    <d v="2012-02-16T00:00:00"/>
    <d v="2020-11-08T00:00:00"/>
    <n v="8"/>
    <m/>
    <s v="Cranbrook"/>
    <s v="Produce"/>
    <s v="Produce Clerk"/>
    <n v="8"/>
    <s v="F"/>
    <s v="Female"/>
    <x v="2"/>
    <x v="0"/>
    <s v="STORES"/>
  </r>
  <r>
    <x v="488"/>
    <d v="2004-06-17T00:00:00"/>
    <d v="2020-11-20T00:00:00"/>
    <n v="16"/>
    <m/>
    <s v="Prince George"/>
    <s v="Meats"/>
    <s v="Meat Cutter"/>
    <n v="26"/>
    <s v="F"/>
    <s v="Female"/>
    <x v="2"/>
    <x v="0"/>
    <s v="STORES"/>
  </r>
  <r>
    <x v="489"/>
    <d v="2014-04-25T00:00:00"/>
    <d v="2020-07-01T00:00:00"/>
    <n v="6"/>
    <m/>
    <s v="Trail"/>
    <s v="Meats"/>
    <s v="Meat Cutter"/>
    <n v="33"/>
    <s v="F"/>
    <s v="Female"/>
    <x v="2"/>
    <x v="0"/>
    <s v="STORES"/>
  </r>
  <r>
    <x v="490"/>
    <d v="2001-07-17T00:00:00"/>
    <d v="2020-12-13T00:00:00"/>
    <n v="19"/>
    <m/>
    <s v="Burnaby"/>
    <s v="Meats"/>
    <s v="Meat Cutter"/>
    <n v="5"/>
    <s v="F"/>
    <s v="Female"/>
    <x v="2"/>
    <x v="0"/>
    <s v="STORES"/>
  </r>
  <r>
    <x v="491"/>
    <d v="1996-08-02T00:00:00"/>
    <d v="2020-10-28T00:00:00"/>
    <n v="24"/>
    <m/>
    <s v="Quesnel"/>
    <s v="Meats"/>
    <s v="Meat Cutter"/>
    <n v="28"/>
    <s v="F"/>
    <s v="Female"/>
    <x v="2"/>
    <x v="0"/>
    <s v="STORES"/>
  </r>
  <r>
    <x v="492"/>
    <d v="2005-01-25T00:00:00"/>
    <d v="2020-07-20T00:00:00"/>
    <n v="15"/>
    <m/>
    <s v="Vancouver"/>
    <s v="Dairy"/>
    <s v="Dairy Person"/>
    <n v="35"/>
    <s v="F"/>
    <s v="Female"/>
    <x v="2"/>
    <x v="0"/>
    <s v="STORES"/>
  </r>
  <r>
    <x v="493"/>
    <d v="2001-05-07T00:00:00"/>
    <d v="2020-03-25T00:00:00"/>
    <n v="19"/>
    <m/>
    <s v="Victoria"/>
    <s v="Meats"/>
    <s v="Meat Cutter"/>
    <n v="37"/>
    <s v="F"/>
    <s v="Female"/>
    <x v="2"/>
    <x v="0"/>
    <s v="STORES"/>
  </r>
  <r>
    <x v="494"/>
    <d v="2012-04-25T00:00:00"/>
    <d v="2020-12-26T00:00:00"/>
    <n v="8"/>
    <m/>
    <s v="Trail"/>
    <s v="Meats"/>
    <s v="Meat Cutter"/>
    <n v="33"/>
    <s v="F"/>
    <s v="Female"/>
    <x v="2"/>
    <x v="0"/>
    <s v="STORES"/>
  </r>
  <r>
    <x v="495"/>
    <d v="2015-02-05T00:00:00"/>
    <d v="2020-02-13T00:00:00"/>
    <n v="5"/>
    <m/>
    <s v="Cranbrook"/>
    <s v="Produce"/>
    <s v="Produce Clerk"/>
    <n v="8"/>
    <s v="F"/>
    <s v="Female"/>
    <x v="2"/>
    <x v="0"/>
    <s v="STORES"/>
  </r>
  <r>
    <x v="496"/>
    <d v="2004-01-30T00:00:00"/>
    <d v="2020-10-29T00:00:00"/>
    <n v="16"/>
    <m/>
    <s v="Nanaimo"/>
    <s v="Meats"/>
    <s v="Meat Cutter"/>
    <n v="18"/>
    <s v="F"/>
    <s v="Female"/>
    <x v="2"/>
    <x v="0"/>
    <s v="STORES"/>
  </r>
  <r>
    <x v="497"/>
    <d v="1999-07-14T00:00:00"/>
    <d v="2020-11-27T00:00:00"/>
    <n v="21"/>
    <m/>
    <s v="Terrace"/>
    <s v="Meats"/>
    <s v="Meat Cutter"/>
    <n v="32"/>
    <s v="F"/>
    <s v="Female"/>
    <x v="2"/>
    <x v="0"/>
    <s v="STORES"/>
  </r>
  <r>
    <x v="498"/>
    <d v="2014-09-05T00:00:00"/>
    <d v="2020-08-17T00:00:00"/>
    <n v="6"/>
    <m/>
    <s v="Trail"/>
    <s v="Meats"/>
    <s v="Meat Cutter"/>
    <n v="33"/>
    <s v="F"/>
    <s v="Female"/>
    <x v="2"/>
    <x v="0"/>
    <s v="STORES"/>
  </r>
  <r>
    <x v="499"/>
    <d v="2008-05-21T00:00:00"/>
    <d v="2020-05-25T00:00:00"/>
    <n v="12"/>
    <m/>
    <s v="New Westminister"/>
    <s v="Meats"/>
    <s v="Meat Cutter"/>
    <n v="20"/>
    <s v="F"/>
    <s v="Female"/>
    <x v="2"/>
    <x v="0"/>
    <s v="STORES"/>
  </r>
  <r>
    <x v="500"/>
    <d v="2009-08-24T00:00:00"/>
    <d v="2020-02-29T00:00:00"/>
    <n v="11"/>
    <m/>
    <s v="Victoria"/>
    <s v="Meats"/>
    <s v="Meat Cutter"/>
    <n v="37"/>
    <s v="F"/>
    <s v="Female"/>
    <x v="2"/>
    <x v="0"/>
    <s v="STORES"/>
  </r>
  <r>
    <x v="501"/>
    <d v="1995-02-21T00:00:00"/>
    <d v="2020-01-25T00:00:00"/>
    <n v="25"/>
    <m/>
    <s v="Vancouver"/>
    <s v="Dairy"/>
    <s v="Dairy Person"/>
    <n v="35"/>
    <s v="F"/>
    <s v="Female"/>
    <x v="2"/>
    <x v="0"/>
    <s v="STORES"/>
  </r>
  <r>
    <x v="502"/>
    <d v="2002-05-28T00:00:00"/>
    <d v="2020-12-17T00:00:00"/>
    <n v="18"/>
    <m/>
    <s v="Vancouver"/>
    <s v="Dairy"/>
    <s v="Dairy Person"/>
    <n v="35"/>
    <s v="F"/>
    <s v="Female"/>
    <x v="2"/>
    <x v="0"/>
    <s v="STORES"/>
  </r>
  <r>
    <x v="503"/>
    <d v="2007-02-20T00:00:00"/>
    <d v="2020-09-02T00:00:00"/>
    <n v="13"/>
    <m/>
    <s v="Burnaby"/>
    <s v="Processed Foods"/>
    <s v="Shelf Stocker"/>
    <n v="5"/>
    <s v="F"/>
    <s v="Female"/>
    <x v="1"/>
    <x v="0"/>
    <s v="STORES"/>
  </r>
  <r>
    <x v="504"/>
    <d v="2004-10-23T00:00:00"/>
    <d v="2020-07-30T00:00:00"/>
    <n v="16"/>
    <m/>
    <s v="Prince George"/>
    <s v="Meats"/>
    <s v="Meat Cutter"/>
    <n v="26"/>
    <s v="F"/>
    <s v="Female"/>
    <x v="2"/>
    <x v="0"/>
    <s v="STORES"/>
  </r>
  <r>
    <x v="505"/>
    <d v="2015-08-18T00:00:00"/>
    <d v="2020-01-14T00:00:00"/>
    <n v="5"/>
    <m/>
    <s v="New Westminster"/>
    <s v="Meats"/>
    <s v="Meat Cutter"/>
    <n v="21"/>
    <s v="F"/>
    <s v="Female"/>
    <x v="2"/>
    <x v="0"/>
    <s v="STORES"/>
  </r>
  <r>
    <x v="506"/>
    <d v="2007-10-02T00:00:00"/>
    <d v="2020-01-23T00:00:00"/>
    <n v="13"/>
    <m/>
    <s v="Cranbrook"/>
    <s v="Produce"/>
    <s v="Produce Clerk"/>
    <n v="8"/>
    <s v="F"/>
    <s v="Female"/>
    <x v="2"/>
    <x v="0"/>
    <s v="STORES"/>
  </r>
  <r>
    <x v="507"/>
    <d v="2010-01-14T00:00:00"/>
    <d v="2020-11-02T00:00:00"/>
    <n v="10"/>
    <m/>
    <s v="Abbotsford"/>
    <s v="Produce"/>
    <s v="Produce Clerk"/>
    <n v="1"/>
    <s v="F"/>
    <s v="Female"/>
    <x v="2"/>
    <x v="0"/>
    <s v="STORES"/>
  </r>
  <r>
    <x v="508"/>
    <d v="1993-08-18T00:00:00"/>
    <d v="2020-12-28T00:00:00"/>
    <n v="27"/>
    <m/>
    <s v="Nanaimo"/>
    <s v="Meats"/>
    <s v="Meat Cutter"/>
    <n v="18"/>
    <s v="F"/>
    <s v="Female"/>
    <x v="2"/>
    <x v="0"/>
    <s v="STORES"/>
  </r>
  <r>
    <x v="509"/>
    <d v="2005-10-19T00:00:00"/>
    <d v="2020-06-12T00:00:00"/>
    <n v="15"/>
    <m/>
    <s v="Victoria"/>
    <s v="Meats"/>
    <s v="Meat Cutter"/>
    <n v="37"/>
    <s v="F"/>
    <s v="Female"/>
    <x v="2"/>
    <x v="0"/>
    <s v="STORES"/>
  </r>
  <r>
    <x v="510"/>
    <d v="1992-12-22T00:00:00"/>
    <d v="2020-10-16T00:00:00"/>
    <n v="28"/>
    <m/>
    <s v="Nelson"/>
    <s v="Produce"/>
    <s v="Produce Clerk"/>
    <n v="19"/>
    <s v="F"/>
    <s v="Female"/>
    <x v="2"/>
    <x v="0"/>
    <s v="STORES"/>
  </r>
  <r>
    <x v="511"/>
    <d v="1992-08-28T00:00:00"/>
    <d v="2020-11-05T00:00:00"/>
    <n v="28"/>
    <m/>
    <s v="Richmond"/>
    <s v="Meats"/>
    <s v="Meat Cutter"/>
    <n v="29"/>
    <s v="F"/>
    <s v="Female"/>
    <x v="2"/>
    <x v="0"/>
    <s v="STORES"/>
  </r>
  <r>
    <x v="512"/>
    <d v="1999-10-05T00:00:00"/>
    <d v="2020-05-16T00:00:00"/>
    <n v="21"/>
    <m/>
    <s v="Kamloops"/>
    <s v="Produce"/>
    <s v="Produce Clerk"/>
    <n v="15"/>
    <s v="F"/>
    <s v="Female"/>
    <x v="2"/>
    <x v="0"/>
    <s v="STORES"/>
  </r>
  <r>
    <x v="513"/>
    <d v="2011-11-24T00:00:00"/>
    <d v="2020-09-28T00:00:00"/>
    <n v="9"/>
    <m/>
    <s v="Victoria"/>
    <s v="Meats"/>
    <s v="Meat Cutter"/>
    <n v="37"/>
    <s v="F"/>
    <s v="Female"/>
    <x v="2"/>
    <x v="0"/>
    <s v="STORES"/>
  </r>
  <r>
    <x v="514"/>
    <d v="2012-01-10T00:00:00"/>
    <d v="2020-02-26T00:00:00"/>
    <n v="8"/>
    <m/>
    <s v="Fort Nelson"/>
    <s v="Processed Foods"/>
    <s v="Processed Foods Manager"/>
    <n v="11"/>
    <s v="M"/>
    <s v="Male"/>
    <x v="2"/>
    <x v="0"/>
    <s v="STORES"/>
  </r>
  <r>
    <x v="515"/>
    <d v="1997-07-09T00:00:00"/>
    <d v="2020-03-24T00:00:00"/>
    <n v="23"/>
    <m/>
    <s v="Victoria"/>
    <s v="Produce"/>
    <s v="Produce Clerk"/>
    <n v="37"/>
    <s v="F"/>
    <s v="Female"/>
    <x v="2"/>
    <x v="0"/>
    <s v="STORES"/>
  </r>
  <r>
    <x v="516"/>
    <d v="2014-11-06T00:00:00"/>
    <d v="2020-01-13T00:00:00"/>
    <n v="6"/>
    <m/>
    <s v="Terrace"/>
    <s v="Meats"/>
    <s v="Meat Cutter"/>
    <n v="32"/>
    <s v="F"/>
    <s v="Female"/>
    <x v="2"/>
    <x v="0"/>
    <s v="STORES"/>
  </r>
  <r>
    <x v="517"/>
    <d v="2014-09-17T00:00:00"/>
    <d v="2020-09-22T00:00:00"/>
    <n v="6"/>
    <m/>
    <s v="Fort St John"/>
    <s v="Produce"/>
    <s v="Produce Clerk"/>
    <n v="12"/>
    <s v="F"/>
    <s v="Female"/>
    <x v="2"/>
    <x v="0"/>
    <s v="STORES"/>
  </r>
  <r>
    <x v="518"/>
    <d v="2008-08-25T00:00:00"/>
    <d v="2020-05-01T00:00:00"/>
    <n v="12"/>
    <m/>
    <s v="Princeton"/>
    <s v="Produce"/>
    <s v="Produce Clerk"/>
    <n v="27"/>
    <s v="F"/>
    <s v="Female"/>
    <x v="2"/>
    <x v="0"/>
    <s v="STORES"/>
  </r>
  <r>
    <x v="519"/>
    <d v="1990-04-22T00:00:00"/>
    <d v="2020-10-17T00:00:00"/>
    <n v="30"/>
    <m/>
    <s v="Terrace"/>
    <s v="Meats"/>
    <s v="Meat Cutter"/>
    <n v="32"/>
    <s v="F"/>
    <s v="Female"/>
    <x v="2"/>
    <x v="0"/>
    <s v="STORES"/>
  </r>
  <r>
    <x v="520"/>
    <d v="1990-12-27T00:00:00"/>
    <d v="2020-01-03T00:00:00"/>
    <n v="30"/>
    <m/>
    <s v="Vancouver"/>
    <s v="Dairy"/>
    <s v="Dairy Person"/>
    <n v="35"/>
    <s v="F"/>
    <s v="Female"/>
    <x v="2"/>
    <x v="0"/>
    <s v="STORES"/>
  </r>
  <r>
    <x v="521"/>
    <d v="2012-01-11T00:00:00"/>
    <d v="2020-07-07T00:00:00"/>
    <n v="8"/>
    <m/>
    <s v="Aldergrove"/>
    <s v="Produce"/>
    <s v="Produce Clerk"/>
    <n v="2"/>
    <s v="F"/>
    <s v="Female"/>
    <x v="2"/>
    <x v="0"/>
    <s v="STORES"/>
  </r>
  <r>
    <x v="522"/>
    <d v="2015-04-18T00:00:00"/>
    <d v="2020-09-19T00:00:00"/>
    <n v="5"/>
    <m/>
    <s v="Richmond"/>
    <s v="Meats"/>
    <s v="Meat Cutter"/>
    <n v="29"/>
    <s v="F"/>
    <s v="Female"/>
    <x v="2"/>
    <x v="0"/>
    <s v="STORES"/>
  </r>
  <r>
    <x v="523"/>
    <d v="1994-09-05T00:00:00"/>
    <d v="2020-12-28T00:00:00"/>
    <n v="26"/>
    <m/>
    <s v="Kelowna"/>
    <s v="Produce"/>
    <s v="Produce Clerk"/>
    <n v="16"/>
    <s v="F"/>
    <s v="Female"/>
    <x v="2"/>
    <x v="0"/>
    <s v="STORES"/>
  </r>
  <r>
    <x v="524"/>
    <d v="1996-05-24T00:00:00"/>
    <d v="2020-06-21T00:00:00"/>
    <n v="24"/>
    <m/>
    <s v="Richmond"/>
    <s v="Produce"/>
    <s v="Produce Clerk"/>
    <n v="29"/>
    <s v="F"/>
    <s v="Female"/>
    <x v="2"/>
    <x v="0"/>
    <s v="STORES"/>
  </r>
  <r>
    <x v="525"/>
    <d v="2003-07-16T00:00:00"/>
    <d v="2020-12-02T00:00:00"/>
    <n v="17"/>
    <m/>
    <s v="Victoria"/>
    <s v="Produce"/>
    <s v="Produce Clerk"/>
    <n v="37"/>
    <s v="F"/>
    <s v="Female"/>
    <x v="2"/>
    <x v="0"/>
    <s v="STORES"/>
  </r>
  <r>
    <x v="526"/>
    <d v="2006-02-11T00:00:00"/>
    <d v="2020-10-02T00:00:00"/>
    <n v="14"/>
    <m/>
    <s v="Nanaimo"/>
    <s v="Produce"/>
    <s v="Produce Clerk"/>
    <n v="18"/>
    <s v="F"/>
    <s v="Female"/>
    <x v="2"/>
    <x v="0"/>
    <s v="STORES"/>
  </r>
  <r>
    <x v="527"/>
    <d v="2008-10-10T00:00:00"/>
    <d v="2020-01-03T00:00:00"/>
    <n v="12"/>
    <m/>
    <s v="Prince George"/>
    <s v="Meats"/>
    <s v="Meat Cutter"/>
    <n v="26"/>
    <s v="M"/>
    <s v="Male"/>
    <x v="1"/>
    <x v="0"/>
    <s v="STORES"/>
  </r>
  <r>
    <x v="528"/>
    <d v="2013-12-19T00:00:00"/>
    <d v="2020-06-04T00:00:00"/>
    <n v="7"/>
    <m/>
    <s v="Vancouver"/>
    <s v="Dairy"/>
    <s v="Dairy Person"/>
    <n v="35"/>
    <s v="F"/>
    <s v="Female"/>
    <x v="2"/>
    <x v="0"/>
    <s v="STORES"/>
  </r>
  <r>
    <x v="529"/>
    <d v="1994-03-03T00:00:00"/>
    <d v="2020-09-30T00:00:00"/>
    <n v="26"/>
    <m/>
    <s v="New Westminster"/>
    <s v="Produce"/>
    <s v="Produce Clerk"/>
    <n v="21"/>
    <s v="F"/>
    <s v="Female"/>
    <x v="1"/>
    <x v="0"/>
    <s v="STORES"/>
  </r>
  <r>
    <x v="530"/>
    <d v="2011-01-06T00:00:00"/>
    <d v="2020-12-28T00:00:00"/>
    <n v="9"/>
    <m/>
    <s v="Vancouver"/>
    <s v="Dairy"/>
    <s v="Dairy Person"/>
    <n v="35"/>
    <s v="F"/>
    <s v="Female"/>
    <x v="2"/>
    <x v="0"/>
    <s v="STORES"/>
  </r>
  <r>
    <x v="531"/>
    <d v="2015-06-18T00:00:00"/>
    <d v="2020-08-08T00:00:00"/>
    <n v="5"/>
    <m/>
    <s v="Kamloops"/>
    <s v="Produce"/>
    <s v="Produce Clerk"/>
    <n v="15"/>
    <s v="F"/>
    <s v="Female"/>
    <x v="2"/>
    <x v="0"/>
    <s v="STORES"/>
  </r>
  <r>
    <x v="532"/>
    <d v="1992-05-28T00:00:00"/>
    <d v="2020-12-18T00:00:00"/>
    <n v="28"/>
    <m/>
    <s v="Kelowna"/>
    <s v="Produce"/>
    <s v="Produce Clerk"/>
    <n v="16"/>
    <s v="F"/>
    <s v="Female"/>
    <x v="2"/>
    <x v="0"/>
    <s v="STORES"/>
  </r>
  <r>
    <x v="533"/>
    <d v="1993-04-06T00:00:00"/>
    <d v="2020-11-18T00:00:00"/>
    <n v="27"/>
    <m/>
    <s v="Richmond"/>
    <s v="Produce"/>
    <s v="Produce Clerk"/>
    <n v="29"/>
    <s v="F"/>
    <s v="Female"/>
    <x v="2"/>
    <x v="0"/>
    <s v="STORES"/>
  </r>
  <r>
    <x v="534"/>
    <d v="2012-08-15T00:00:00"/>
    <d v="2020-07-26T00:00:00"/>
    <n v="8"/>
    <m/>
    <s v="Vernon"/>
    <s v="Produce"/>
    <s v="Produce Clerk"/>
    <n v="36"/>
    <s v="F"/>
    <s v="Female"/>
    <x v="2"/>
    <x v="0"/>
    <s v="STORES"/>
  </r>
  <r>
    <x v="535"/>
    <d v="2007-05-23T00:00:00"/>
    <d v="2020-07-02T00:00:00"/>
    <n v="13"/>
    <m/>
    <s v="Vancouver"/>
    <s v="Dairy"/>
    <s v="Dairy Person"/>
    <n v="35"/>
    <s v="F"/>
    <s v="Female"/>
    <x v="2"/>
    <x v="0"/>
    <s v="STORES"/>
  </r>
  <r>
    <x v="536"/>
    <d v="1993-10-05T00:00:00"/>
    <d v="2020-07-25T00:00:00"/>
    <n v="27"/>
    <m/>
    <s v="New Westminster"/>
    <s v="Meats"/>
    <s v="Meat Cutter"/>
    <n v="21"/>
    <s v="F"/>
    <s v="Female"/>
    <x v="2"/>
    <x v="0"/>
    <s v="STORES"/>
  </r>
  <r>
    <x v="537"/>
    <d v="2009-12-06T00:00:00"/>
    <d v="2020-09-16T00:00:00"/>
    <n v="11"/>
    <m/>
    <s v="Terrace"/>
    <s v="Meats"/>
    <s v="Meat Cutter"/>
    <n v="32"/>
    <s v="F"/>
    <s v="Female"/>
    <x v="2"/>
    <x v="0"/>
    <s v="STORES"/>
  </r>
  <r>
    <x v="538"/>
    <d v="2009-12-30T00:00:00"/>
    <d v="2020-03-22T00:00:00"/>
    <n v="11"/>
    <m/>
    <s v="Vancouver"/>
    <s v="Dairy"/>
    <s v="Dairy Person"/>
    <n v="35"/>
    <s v="F"/>
    <s v="Female"/>
    <x v="2"/>
    <x v="0"/>
    <s v="STORES"/>
  </r>
  <r>
    <x v="539"/>
    <d v="2011-02-05T00:00:00"/>
    <d v="2020-05-30T00:00:00"/>
    <n v="9"/>
    <m/>
    <s v="Pitt Meadows"/>
    <s v="Dairy"/>
    <s v="Dairy Person"/>
    <n v="24"/>
    <s v="F"/>
    <s v="Female"/>
    <x v="2"/>
    <x v="0"/>
    <s v="STORES"/>
  </r>
  <r>
    <x v="540"/>
    <d v="1998-01-11T00:00:00"/>
    <d v="2020-07-21T00:00:00"/>
    <n v="22"/>
    <m/>
    <s v="Prince George"/>
    <s v="Produce"/>
    <s v="Produce Clerk"/>
    <n v="26"/>
    <s v="F"/>
    <s v="Female"/>
    <x v="2"/>
    <x v="0"/>
    <s v="STORES"/>
  </r>
  <r>
    <x v="541"/>
    <d v="2013-06-17T00:00:00"/>
    <d v="2020-01-05T00:00:00"/>
    <n v="7"/>
    <m/>
    <s v="Langley"/>
    <s v="Meats"/>
    <s v="Meat Cutter"/>
    <n v="17"/>
    <s v="F"/>
    <s v="Female"/>
    <x v="2"/>
    <x v="0"/>
    <s v="STORES"/>
  </r>
  <r>
    <x v="542"/>
    <d v="2008-09-24T00:00:00"/>
    <d v="2020-10-23T00:00:00"/>
    <n v="12"/>
    <m/>
    <s v="New Westminster"/>
    <s v="Meats"/>
    <s v="Meat Cutter"/>
    <n v="21"/>
    <s v="F"/>
    <s v="Female"/>
    <x v="2"/>
    <x v="0"/>
    <s v="STORES"/>
  </r>
  <r>
    <x v="543"/>
    <d v="2004-11-11T00:00:00"/>
    <d v="2020-09-12T00:00:00"/>
    <n v="16"/>
    <m/>
    <s v="Abbotsford"/>
    <s v="Processed Foods"/>
    <s v="Shelf Stocker"/>
    <n v="1"/>
    <s v="F"/>
    <s v="Female"/>
    <x v="2"/>
    <x v="0"/>
    <s v="STORES"/>
  </r>
  <r>
    <x v="544"/>
    <d v="2004-01-17T00:00:00"/>
    <d v="2020-10-10T00:00:00"/>
    <n v="16"/>
    <m/>
    <s v="New Westminster"/>
    <s v="Produce"/>
    <s v="Produce Clerk"/>
    <n v="21"/>
    <s v="F"/>
    <s v="Female"/>
    <x v="2"/>
    <x v="0"/>
    <s v="STORES"/>
  </r>
  <r>
    <x v="545"/>
    <d v="2014-06-14T00:00:00"/>
    <d v="2020-12-19T00:00:00"/>
    <n v="6"/>
    <m/>
    <s v="Victoria"/>
    <s v="Produce"/>
    <s v="Produce Clerk"/>
    <n v="37"/>
    <s v="F"/>
    <s v="Female"/>
    <x v="2"/>
    <x v="0"/>
    <s v="STORES"/>
  </r>
  <r>
    <x v="546"/>
    <d v="2000-06-15T00:00:00"/>
    <d v="2020-06-22T00:00:00"/>
    <n v="20"/>
    <m/>
    <s v="Port Coquitlam"/>
    <s v="Meats"/>
    <s v="Meat Cutter"/>
    <n v="25"/>
    <s v="F"/>
    <s v="Female"/>
    <x v="2"/>
    <x v="0"/>
    <s v="STORES"/>
  </r>
  <r>
    <x v="547"/>
    <d v="1991-06-20T00:00:00"/>
    <d v="2020-03-13T00:00:00"/>
    <n v="29"/>
    <m/>
    <s v="Victoria"/>
    <s v="Produce"/>
    <s v="Produce Clerk"/>
    <n v="37"/>
    <s v="F"/>
    <s v="Female"/>
    <x v="2"/>
    <x v="0"/>
    <s v="STORES"/>
  </r>
  <r>
    <x v="548"/>
    <d v="2005-01-31T00:00:00"/>
    <d v="2020-08-15T00:00:00"/>
    <n v="15"/>
    <m/>
    <s v="Richmond"/>
    <s v="Produce"/>
    <s v="Produce Clerk"/>
    <n v="29"/>
    <s v="F"/>
    <s v="Female"/>
    <x v="2"/>
    <x v="0"/>
    <s v="STORES"/>
  </r>
  <r>
    <x v="549"/>
    <d v="2014-08-25T00:00:00"/>
    <d v="2020-12-08T00:00:00"/>
    <n v="6"/>
    <m/>
    <s v="Victoria"/>
    <s v="Produce"/>
    <s v="Produce Clerk"/>
    <n v="37"/>
    <s v="F"/>
    <s v="Female"/>
    <x v="2"/>
    <x v="0"/>
    <s v="STORES"/>
  </r>
  <r>
    <x v="550"/>
    <d v="1994-10-07T00:00:00"/>
    <d v="2020-02-20T00:00:00"/>
    <n v="26"/>
    <m/>
    <s v="Vancouver"/>
    <s v="Dairy"/>
    <s v="Dairy Person"/>
    <n v="35"/>
    <s v="F"/>
    <s v="Female"/>
    <x v="2"/>
    <x v="0"/>
    <s v="STORES"/>
  </r>
  <r>
    <x v="551"/>
    <d v="2004-03-29T00:00:00"/>
    <d v="2020-06-01T00:00:00"/>
    <n v="16"/>
    <m/>
    <s v="Cortes Island"/>
    <s v="Dairy"/>
    <s v="Dairy Person"/>
    <n v="7"/>
    <s v="M"/>
    <s v="Male"/>
    <x v="2"/>
    <x v="0"/>
    <s v="STORES"/>
  </r>
  <r>
    <x v="552"/>
    <d v="2009-02-16T00:00:00"/>
    <d v="2020-10-20T00:00:00"/>
    <n v="11"/>
    <m/>
    <s v="Nanaimo"/>
    <s v="Produce"/>
    <s v="Produce Clerk"/>
    <n v="18"/>
    <s v="F"/>
    <s v="Female"/>
    <x v="2"/>
    <x v="0"/>
    <s v="STORES"/>
  </r>
  <r>
    <x v="553"/>
    <d v="1997-02-21T00:00:00"/>
    <d v="2020-05-31T00:00:00"/>
    <n v="23"/>
    <m/>
    <s v="Nanaimo"/>
    <s v="Produce"/>
    <s v="Produce Clerk"/>
    <n v="18"/>
    <s v="F"/>
    <s v="Female"/>
    <x v="2"/>
    <x v="0"/>
    <s v="STORES"/>
  </r>
  <r>
    <x v="554"/>
    <d v="1990-07-03T00:00:00"/>
    <d v="2020-07-24T00:00:00"/>
    <n v="30"/>
    <m/>
    <s v="Vancouver"/>
    <s v="Dairy"/>
    <s v="Dairy Person"/>
    <n v="35"/>
    <s v="F"/>
    <s v="Female"/>
    <x v="2"/>
    <x v="0"/>
    <s v="STORES"/>
  </r>
  <r>
    <x v="555"/>
    <d v="2009-05-14T00:00:00"/>
    <d v="2020-07-10T00:00:00"/>
    <n v="11"/>
    <m/>
    <s v="New Westminster"/>
    <s v="Produce"/>
    <s v="Produce Clerk"/>
    <n v="21"/>
    <s v="F"/>
    <s v="Female"/>
    <x v="2"/>
    <x v="0"/>
    <s v="STORES"/>
  </r>
  <r>
    <x v="556"/>
    <d v="1990-12-04T00:00:00"/>
    <d v="2020-09-04T00:00:00"/>
    <n v="30"/>
    <m/>
    <s v="West Vancouver"/>
    <s v="Meats"/>
    <s v="Meat Cutter"/>
    <n v="38"/>
    <s v="F"/>
    <s v="Female"/>
    <x v="2"/>
    <x v="0"/>
    <s v="STORES"/>
  </r>
  <r>
    <x v="557"/>
    <d v="1997-06-15T00:00:00"/>
    <d v="2020-12-24T00:00:00"/>
    <n v="23"/>
    <m/>
    <s v="Cranbrook"/>
    <s v="Produce"/>
    <s v="Produce Clerk"/>
    <n v="8"/>
    <s v="F"/>
    <s v="Female"/>
    <x v="2"/>
    <x v="0"/>
    <s v="STORES"/>
  </r>
  <r>
    <x v="558"/>
    <d v="1997-11-13T00:00:00"/>
    <d v="2020-05-30T00:00:00"/>
    <n v="23"/>
    <m/>
    <s v="Chilliwack"/>
    <s v="Produce"/>
    <s v="Produce Clerk"/>
    <n v="6"/>
    <s v="F"/>
    <s v="Female"/>
    <x v="2"/>
    <x v="0"/>
    <s v="STORES"/>
  </r>
  <r>
    <x v="559"/>
    <d v="1997-04-08T00:00:00"/>
    <d v="2020-07-03T00:00:00"/>
    <n v="23"/>
    <m/>
    <s v="Haney"/>
    <s v="Meats"/>
    <s v="Meat Cutter"/>
    <n v="14"/>
    <s v="M"/>
    <s v="Male"/>
    <x v="2"/>
    <x v="0"/>
    <s v="STORES"/>
  </r>
  <r>
    <x v="560"/>
    <d v="1993-02-20T00:00:00"/>
    <d v="2020-08-27T00:00:00"/>
    <n v="27"/>
    <m/>
    <s v="Grand Forks"/>
    <s v="Produce"/>
    <s v="Produce Clerk"/>
    <n v="13"/>
    <s v="F"/>
    <s v="Female"/>
    <x v="2"/>
    <x v="0"/>
    <s v="STORES"/>
  </r>
  <r>
    <x v="561"/>
    <d v="1994-01-06T00:00:00"/>
    <d v="2020-08-03T00:00:00"/>
    <n v="26"/>
    <m/>
    <s v="Abbotsford"/>
    <s v="Processed Foods"/>
    <s v="Shelf Stocker"/>
    <n v="1"/>
    <s v="F"/>
    <s v="Female"/>
    <x v="2"/>
    <x v="0"/>
    <s v="STORES"/>
  </r>
  <r>
    <x v="562"/>
    <d v="1996-07-26T00:00:00"/>
    <d v="2020-10-30T00:00:00"/>
    <n v="24"/>
    <m/>
    <s v="Vancouver"/>
    <s v="Meats"/>
    <s v="Meat Cutter"/>
    <n v="35"/>
    <s v="F"/>
    <s v="Female"/>
    <x v="2"/>
    <x v="0"/>
    <s v="STORES"/>
  </r>
  <r>
    <x v="563"/>
    <d v="1995-08-20T00:00:00"/>
    <d v="2020-10-20T00:00:00"/>
    <n v="25"/>
    <m/>
    <s v="Kelowna"/>
    <s v="Produce"/>
    <s v="Produce Clerk"/>
    <n v="16"/>
    <s v="F"/>
    <s v="Female"/>
    <x v="2"/>
    <x v="0"/>
    <s v="STORES"/>
  </r>
  <r>
    <x v="564"/>
    <d v="2008-12-16T00:00:00"/>
    <d v="2020-10-08T00:00:00"/>
    <n v="12"/>
    <m/>
    <s v="White Rock"/>
    <s v="Processed Foods"/>
    <s v="Shelf Stocker"/>
    <n v="39"/>
    <s v="F"/>
    <s v="Female"/>
    <x v="2"/>
    <x v="0"/>
    <s v="STORES"/>
  </r>
  <r>
    <x v="565"/>
    <d v="2003-11-20T00:00:00"/>
    <d v="2020-01-08T00:00:00"/>
    <n v="17"/>
    <m/>
    <s v="Trail"/>
    <s v="Produce"/>
    <s v="Produce Clerk"/>
    <n v="33"/>
    <s v="F"/>
    <s v="Female"/>
    <x v="2"/>
    <x v="0"/>
    <s v="STORES"/>
  </r>
  <r>
    <x v="566"/>
    <d v="2011-03-03T00:00:00"/>
    <d v="2020-05-06T00:00:00"/>
    <n v="9"/>
    <m/>
    <s v="Richmond"/>
    <s v="Produce"/>
    <s v="Produce Clerk"/>
    <n v="29"/>
    <s v="F"/>
    <s v="Female"/>
    <x v="2"/>
    <x v="0"/>
    <s v="STORES"/>
  </r>
  <r>
    <x v="567"/>
    <d v="1999-09-11T00:00:00"/>
    <d v="2020-06-24T00:00:00"/>
    <n v="21"/>
    <m/>
    <s v="Haney"/>
    <s v="Produce"/>
    <s v="Produce Clerk"/>
    <n v="14"/>
    <s v="M"/>
    <s v="Male"/>
    <x v="2"/>
    <x v="0"/>
    <s v="STORES"/>
  </r>
  <r>
    <x v="568"/>
    <d v="2011-08-02T00:00:00"/>
    <d v="2020-10-30T00:00:00"/>
    <n v="9"/>
    <m/>
    <s v="Nanaimo"/>
    <s v="Produce"/>
    <s v="Produce Clerk"/>
    <n v="18"/>
    <s v="F"/>
    <s v="Female"/>
    <x v="2"/>
    <x v="0"/>
    <s v="STORES"/>
  </r>
  <r>
    <x v="569"/>
    <d v="2007-07-29T00:00:00"/>
    <d v="2020-06-14T00:00:00"/>
    <n v="13"/>
    <m/>
    <s v="Kamloops"/>
    <s v="Produce"/>
    <s v="Produce Clerk"/>
    <n v="15"/>
    <s v="F"/>
    <s v="Female"/>
    <x v="2"/>
    <x v="0"/>
    <s v="STORES"/>
  </r>
  <r>
    <x v="570"/>
    <d v="2015-04-23T00:00:00"/>
    <d v="2020-12-24T00:00:00"/>
    <n v="5"/>
    <m/>
    <s v="Vancouver"/>
    <s v="Meats"/>
    <s v="Meat Cutter"/>
    <n v="35"/>
    <s v="F"/>
    <s v="Female"/>
    <x v="2"/>
    <x v="0"/>
    <s v="STORES"/>
  </r>
  <r>
    <x v="571"/>
    <d v="1992-11-10T00:00:00"/>
    <d v="2020-05-30T00:00:00"/>
    <n v="28"/>
    <m/>
    <s v="Kamloops"/>
    <s v="Produce"/>
    <s v="Produce Clerk"/>
    <n v="15"/>
    <s v="F"/>
    <s v="Female"/>
    <x v="2"/>
    <x v="0"/>
    <s v="STORES"/>
  </r>
  <r>
    <x v="572"/>
    <d v="2002-10-15T00:00:00"/>
    <d v="2020-10-20T00:00:00"/>
    <n v="18"/>
    <m/>
    <s v="Richmond"/>
    <s v="Meats"/>
    <s v="Meat Cutter"/>
    <n v="29"/>
    <s v="M"/>
    <s v="Male"/>
    <x v="1"/>
    <x v="0"/>
    <s v="STORES"/>
  </r>
  <r>
    <x v="573"/>
    <d v="2015-05-11T00:00:00"/>
    <d v="2020-03-22T00:00:00"/>
    <n v="5"/>
    <m/>
    <s v="Victoria"/>
    <s v="Produce"/>
    <s v="Produce Clerk"/>
    <n v="37"/>
    <s v="F"/>
    <s v="Female"/>
    <x v="2"/>
    <x v="0"/>
    <s v="STORES"/>
  </r>
  <r>
    <x v="574"/>
    <d v="2015-08-19T00:00:00"/>
    <d v="2020-07-29T00:00:00"/>
    <n v="5"/>
    <m/>
    <s v="West Vancouver"/>
    <s v="Meats"/>
    <s v="Meat Cutter"/>
    <n v="38"/>
    <s v="F"/>
    <s v="Female"/>
    <x v="2"/>
    <x v="0"/>
    <s v="STORES"/>
  </r>
  <r>
    <x v="575"/>
    <d v="2015-03-17T00:00:00"/>
    <d v="2020-09-04T00:00:00"/>
    <n v="5"/>
    <m/>
    <s v="Victoria"/>
    <s v="Produce"/>
    <s v="Produce Clerk"/>
    <n v="37"/>
    <s v="F"/>
    <s v="Female"/>
    <x v="2"/>
    <x v="0"/>
    <s v="STORES"/>
  </r>
  <r>
    <x v="576"/>
    <d v="1997-08-11T00:00:00"/>
    <d v="2020-02-02T00:00:00"/>
    <n v="23"/>
    <m/>
    <s v="Kamloops"/>
    <s v="Produce"/>
    <s v="Produce Clerk"/>
    <n v="15"/>
    <s v="F"/>
    <s v="Female"/>
    <x v="2"/>
    <x v="0"/>
    <s v="STORES"/>
  </r>
  <r>
    <x v="577"/>
    <d v="1993-09-12T00:00:00"/>
    <d v="2020-05-27T00:00:00"/>
    <n v="27"/>
    <m/>
    <s v="Victoria"/>
    <s v="Produce"/>
    <s v="Produce Clerk"/>
    <n v="37"/>
    <s v="F"/>
    <s v="Female"/>
    <x v="2"/>
    <x v="0"/>
    <s v="STORES"/>
  </r>
  <r>
    <x v="578"/>
    <d v="2011-09-06T00:00:00"/>
    <d v="2020-08-12T00:00:00"/>
    <n v="9"/>
    <m/>
    <s v="New Westminister"/>
    <s v="Meats"/>
    <s v="Meat Cutter"/>
    <n v="20"/>
    <s v="F"/>
    <s v="Female"/>
    <x v="2"/>
    <x v="0"/>
    <s v="STORES"/>
  </r>
  <r>
    <x v="579"/>
    <d v="1993-09-09T00:00:00"/>
    <d v="2020-02-25T00:00:00"/>
    <n v="27"/>
    <m/>
    <s v="Vancouver"/>
    <s v="Meats"/>
    <s v="Meat Cutter"/>
    <n v="35"/>
    <s v="F"/>
    <s v="Female"/>
    <x v="2"/>
    <x v="0"/>
    <s v="STORES"/>
  </r>
  <r>
    <x v="580"/>
    <d v="2010-10-30T00:00:00"/>
    <d v="2020-02-29T00:00:00"/>
    <n v="10"/>
    <m/>
    <s v="New Westminster"/>
    <s v="Produce"/>
    <s v="Produce Clerk"/>
    <n v="21"/>
    <s v="F"/>
    <s v="Female"/>
    <x v="2"/>
    <x v="0"/>
    <s v="STORES"/>
  </r>
  <r>
    <x v="581"/>
    <d v="2011-06-01T00:00:00"/>
    <d v="2020-08-28T00:00:00"/>
    <n v="9"/>
    <m/>
    <s v="Vancouver"/>
    <s v="Meats"/>
    <s v="Meat Cutter"/>
    <n v="35"/>
    <s v="F"/>
    <s v="Female"/>
    <x v="2"/>
    <x v="0"/>
    <s v="STORES"/>
  </r>
  <r>
    <x v="582"/>
    <d v="1998-12-10T00:00:00"/>
    <d v="2020-04-24T00:00:00"/>
    <n v="22"/>
    <m/>
    <s v="Victoria"/>
    <s v="Produce"/>
    <s v="Produce Clerk"/>
    <n v="37"/>
    <s v="F"/>
    <s v="Female"/>
    <x v="2"/>
    <x v="0"/>
    <s v="STORES"/>
  </r>
  <r>
    <x v="583"/>
    <d v="2014-07-18T00:00:00"/>
    <d v="2020-08-23T00:00:00"/>
    <n v="6"/>
    <m/>
    <s v="Langley"/>
    <s v="Meats"/>
    <s v="Meat Cutter"/>
    <n v="17"/>
    <s v="F"/>
    <s v="Female"/>
    <x v="2"/>
    <x v="0"/>
    <s v="STORES"/>
  </r>
  <r>
    <x v="584"/>
    <d v="1993-07-26T00:00:00"/>
    <d v="2020-04-17T00:00:00"/>
    <n v="27"/>
    <m/>
    <s v="Cortes Island"/>
    <s v="Bakery"/>
    <s v="Baker"/>
    <n v="7"/>
    <s v="F"/>
    <s v="Female"/>
    <x v="2"/>
    <x v="0"/>
    <s v="STORES"/>
  </r>
  <r>
    <x v="585"/>
    <d v="2010-08-13T00:00:00"/>
    <d v="2020-05-02T00:00:00"/>
    <n v="10"/>
    <m/>
    <s v="Vancouver"/>
    <s v="Produce"/>
    <s v="Produce Clerk"/>
    <n v="42"/>
    <s v="M"/>
    <s v="Male"/>
    <x v="1"/>
    <x v="0"/>
    <s v="STORES"/>
  </r>
  <r>
    <x v="586"/>
    <d v="2007-07-18T00:00:00"/>
    <d v="2020-07-23T00:00:00"/>
    <n v="13"/>
    <m/>
    <s v="Victoria"/>
    <s v="Produce"/>
    <s v="Produce Clerk"/>
    <n v="37"/>
    <s v="F"/>
    <s v="Female"/>
    <x v="2"/>
    <x v="0"/>
    <s v="STORES"/>
  </r>
  <r>
    <x v="587"/>
    <d v="2011-04-05T00:00:00"/>
    <d v="2020-09-08T00:00:00"/>
    <n v="9"/>
    <m/>
    <s v="Nanaimo"/>
    <s v="Produce"/>
    <s v="Produce Clerk"/>
    <n v="18"/>
    <s v="F"/>
    <s v="Female"/>
    <x v="2"/>
    <x v="0"/>
    <s v="STORES"/>
  </r>
  <r>
    <x v="588"/>
    <d v="2009-05-14T00:00:00"/>
    <d v="2020-07-04T00:00:00"/>
    <n v="11"/>
    <m/>
    <s v="Chilliwack"/>
    <s v="Produce"/>
    <s v="Produce Clerk"/>
    <n v="6"/>
    <s v="M"/>
    <s v="Male"/>
    <x v="1"/>
    <x v="0"/>
    <s v="STORES"/>
  </r>
  <r>
    <x v="589"/>
    <d v="2007-01-27T00:00:00"/>
    <d v="2020-10-05T00:00:00"/>
    <n v="13"/>
    <m/>
    <s v="Kamloops"/>
    <s v="Produce"/>
    <s v="Produce Clerk"/>
    <n v="15"/>
    <s v="F"/>
    <s v="Female"/>
    <x v="2"/>
    <x v="0"/>
    <s v="STORES"/>
  </r>
  <r>
    <x v="590"/>
    <d v="2000-06-24T00:00:00"/>
    <d v="2020-07-26T00:00:00"/>
    <n v="20"/>
    <m/>
    <s v="Fort Nelson"/>
    <s v="Customer Service"/>
    <s v="Customer Service Manager"/>
    <n v="11"/>
    <s v="M"/>
    <s v="Male"/>
    <x v="2"/>
    <x v="0"/>
    <s v="STORES"/>
  </r>
  <r>
    <x v="591"/>
    <d v="2005-09-13T00:00:00"/>
    <d v="2020-05-03T00:00:00"/>
    <n v="15"/>
    <m/>
    <s v="Vancouver"/>
    <s v="Meats"/>
    <s v="Meat Cutter"/>
    <n v="35"/>
    <s v="F"/>
    <s v="Female"/>
    <x v="2"/>
    <x v="0"/>
    <s v="STORES"/>
  </r>
  <r>
    <x v="592"/>
    <d v="1995-11-12T00:00:00"/>
    <d v="2020-10-09T00:00:00"/>
    <n v="25"/>
    <m/>
    <s v="Ocean Falls"/>
    <s v="Bakery"/>
    <s v="Baker"/>
    <n v="23"/>
    <s v="F"/>
    <s v="Female"/>
    <x v="2"/>
    <x v="0"/>
    <s v="STORES"/>
  </r>
  <r>
    <x v="593"/>
    <d v="2006-02-08T00:00:00"/>
    <d v="2020-07-05T00:00:00"/>
    <n v="14"/>
    <m/>
    <s v="Fort Nelson"/>
    <s v="Meats"/>
    <s v="Meat Cutter"/>
    <n v="11"/>
    <s v="F"/>
    <s v="Female"/>
    <x v="2"/>
    <x v="0"/>
    <s v="STORES"/>
  </r>
  <r>
    <x v="594"/>
    <d v="1990-12-13T00:00:00"/>
    <d v="2020-10-02T00:00:00"/>
    <n v="30"/>
    <m/>
    <s v="Langley"/>
    <s v="Produce"/>
    <s v="Produce Clerk"/>
    <n v="17"/>
    <s v="F"/>
    <s v="Female"/>
    <x v="1"/>
    <x v="0"/>
    <s v="STORES"/>
  </r>
  <r>
    <x v="595"/>
    <d v="2012-11-15T00:00:00"/>
    <d v="2020-01-14T00:00:00"/>
    <n v="8"/>
    <m/>
    <s v="Victoria"/>
    <s v="Produce"/>
    <s v="Produce Clerk"/>
    <n v="37"/>
    <s v="F"/>
    <s v="Female"/>
    <x v="2"/>
    <x v="0"/>
    <s v="STORES"/>
  </r>
  <r>
    <x v="596"/>
    <d v="2007-01-31T00:00:00"/>
    <d v="2020-07-29T00:00:00"/>
    <n v="13"/>
    <m/>
    <s v="Prince George"/>
    <s v="Produce"/>
    <s v="Produce Clerk"/>
    <n v="26"/>
    <s v="F"/>
    <s v="Female"/>
    <x v="2"/>
    <x v="0"/>
    <s v="STORES"/>
  </r>
  <r>
    <x v="597"/>
    <d v="2015-05-04T00:00:00"/>
    <d v="2020-05-23T00:00:00"/>
    <n v="5"/>
    <m/>
    <s v="Prince George"/>
    <s v="Produce"/>
    <s v="Produce Clerk"/>
    <n v="26"/>
    <s v="F"/>
    <s v="Female"/>
    <x v="2"/>
    <x v="0"/>
    <s v="STORES"/>
  </r>
  <r>
    <x v="598"/>
    <d v="2010-06-26T00:00:00"/>
    <d v="2020-12-27T00:00:00"/>
    <n v="10"/>
    <m/>
    <s v="Kamloops"/>
    <s v="Bakery"/>
    <s v="Baker"/>
    <n v="15"/>
    <s v="F"/>
    <s v="Female"/>
    <x v="2"/>
    <x v="0"/>
    <s v="STORES"/>
  </r>
  <r>
    <x v="599"/>
    <d v="2009-11-02T00:00:00"/>
    <d v="2020-09-13T00:00:00"/>
    <n v="11"/>
    <m/>
    <s v="Kamloops"/>
    <s v="Produce"/>
    <s v="Produce Clerk"/>
    <n v="15"/>
    <s v="M"/>
    <s v="Male"/>
    <x v="1"/>
    <x v="0"/>
    <s v="STORES"/>
  </r>
  <r>
    <x v="600"/>
    <d v="2005-02-10T00:00:00"/>
    <d v="2020-01-03T00:00:00"/>
    <n v="15"/>
    <m/>
    <s v="Trail"/>
    <s v="Produce"/>
    <s v="Produce Clerk"/>
    <n v="33"/>
    <s v="F"/>
    <s v="Female"/>
    <x v="2"/>
    <x v="0"/>
    <s v="STORES"/>
  </r>
  <r>
    <x v="601"/>
    <d v="1992-11-22T00:00:00"/>
    <d v="2020-07-26T00:00:00"/>
    <n v="28"/>
    <m/>
    <s v="Vancouver"/>
    <s v="Meats"/>
    <s v="Meat Cutter"/>
    <n v="35"/>
    <s v="F"/>
    <s v="Female"/>
    <x v="2"/>
    <x v="0"/>
    <s v="STORES"/>
  </r>
  <r>
    <x v="602"/>
    <d v="1996-12-07T00:00:00"/>
    <d v="2020-08-10T00:00:00"/>
    <n v="24"/>
    <m/>
    <s v="Chilliwack"/>
    <s v="Produce"/>
    <s v="Produce Clerk"/>
    <n v="6"/>
    <s v="F"/>
    <s v="Female"/>
    <x v="2"/>
    <x v="0"/>
    <s v="STORES"/>
  </r>
  <r>
    <x v="603"/>
    <d v="2000-03-26T00:00:00"/>
    <d v="2020-09-15T00:00:00"/>
    <n v="20"/>
    <m/>
    <s v="New Westminster"/>
    <s v="Produce"/>
    <s v="Produce Clerk"/>
    <n v="21"/>
    <s v="F"/>
    <s v="Female"/>
    <x v="2"/>
    <x v="0"/>
    <s v="STORES"/>
  </r>
  <r>
    <x v="604"/>
    <d v="1997-09-23T00:00:00"/>
    <d v="2020-05-24T00:00:00"/>
    <n v="23"/>
    <m/>
    <s v="Victoria"/>
    <s v="Produce"/>
    <s v="Produce Clerk"/>
    <n v="37"/>
    <s v="F"/>
    <s v="Female"/>
    <x v="2"/>
    <x v="0"/>
    <s v="STORES"/>
  </r>
  <r>
    <x v="605"/>
    <d v="1997-01-16T00:00:00"/>
    <d v="2020-01-16T00:00:00"/>
    <n v="23"/>
    <m/>
    <s v="Vancouver"/>
    <s v="Meats"/>
    <s v="Meat Cutter"/>
    <n v="35"/>
    <s v="F"/>
    <s v="Female"/>
    <x v="2"/>
    <x v="0"/>
    <s v="STORES"/>
  </r>
  <r>
    <x v="606"/>
    <d v="1997-03-10T00:00:00"/>
    <d v="2020-04-23T00:00:00"/>
    <n v="23"/>
    <m/>
    <s v="Squamish"/>
    <s v="Produce"/>
    <s v="Produce Clerk"/>
    <n v="30"/>
    <s v="F"/>
    <s v="Female"/>
    <x v="2"/>
    <x v="0"/>
    <s v="STORES"/>
  </r>
  <r>
    <x v="607"/>
    <d v="2001-03-10T00:00:00"/>
    <d v="2020-05-19T00:00:00"/>
    <n v="19"/>
    <m/>
    <s v="Langley"/>
    <s v="Produce"/>
    <s v="Produce Clerk"/>
    <n v="17"/>
    <s v="F"/>
    <s v="Female"/>
    <x v="2"/>
    <x v="0"/>
    <s v="STORES"/>
  </r>
  <r>
    <x v="608"/>
    <d v="1996-01-08T00:00:00"/>
    <d v="2020-03-24T00:00:00"/>
    <n v="24"/>
    <m/>
    <s v="Ocean Falls"/>
    <s v="Dairy"/>
    <s v="Dairy Person"/>
    <n v="23"/>
    <s v="M"/>
    <s v="Male"/>
    <x v="2"/>
    <x v="0"/>
    <s v="STORES"/>
  </r>
  <r>
    <x v="609"/>
    <d v="1999-12-06T00:00:00"/>
    <d v="2020-03-21T00:00:00"/>
    <n v="21"/>
    <m/>
    <s v="Surrey"/>
    <s v="Meats"/>
    <s v="Meat Cutter"/>
    <n v="31"/>
    <s v="F"/>
    <s v="Female"/>
    <x v="2"/>
    <x v="0"/>
    <s v="STORES"/>
  </r>
  <r>
    <x v="610"/>
    <d v="2014-12-08T00:00:00"/>
    <d v="2020-11-05T00:00:00"/>
    <n v="6"/>
    <m/>
    <s v="Burnaby"/>
    <s v="Produce"/>
    <s v="Produce Clerk"/>
    <n v="5"/>
    <s v="F"/>
    <s v="Female"/>
    <x v="2"/>
    <x v="0"/>
    <s v="STORES"/>
  </r>
  <r>
    <x v="611"/>
    <d v="1996-01-31T00:00:00"/>
    <d v="2020-10-06T00:00:00"/>
    <n v="24"/>
    <m/>
    <s v="North Vancouver"/>
    <s v="Produce"/>
    <s v="Produce Clerk"/>
    <n v="22"/>
    <s v="F"/>
    <s v="Female"/>
    <x v="2"/>
    <x v="0"/>
    <s v="STORES"/>
  </r>
  <r>
    <x v="612"/>
    <d v="1998-07-15T00:00:00"/>
    <d v="2020-09-01T00:00:00"/>
    <n v="22"/>
    <m/>
    <s v="New Westminister"/>
    <s v="Dairy"/>
    <s v="Dairy Person"/>
    <n v="20"/>
    <s v="M"/>
    <s v="Male"/>
    <x v="2"/>
    <x v="0"/>
    <s v="STORES"/>
  </r>
  <r>
    <x v="613"/>
    <d v="2010-04-09T00:00:00"/>
    <d v="2020-12-02T00:00:00"/>
    <n v="10"/>
    <m/>
    <s v="New Westminister"/>
    <s v="Processed Foods"/>
    <s v="Processed Foods Manager"/>
    <n v="20"/>
    <s v="M"/>
    <s v="Male"/>
    <x v="2"/>
    <x v="0"/>
    <s v="STORES"/>
  </r>
  <r>
    <x v="614"/>
    <d v="1998-10-13T00:00:00"/>
    <d v="2020-11-24T00:00:00"/>
    <n v="22"/>
    <m/>
    <s v="Vancouver"/>
    <s v="Meats"/>
    <s v="Meat Cutter"/>
    <n v="35"/>
    <s v="F"/>
    <s v="Female"/>
    <x v="2"/>
    <x v="0"/>
    <s v="STORES"/>
  </r>
  <r>
    <x v="615"/>
    <d v="2005-11-22T00:00:00"/>
    <d v="2020-02-15T00:00:00"/>
    <n v="15"/>
    <m/>
    <s v="White Rock"/>
    <s v="Customer Service"/>
    <s v="Cashier"/>
    <n v="39"/>
    <s v="M"/>
    <s v="Male"/>
    <x v="2"/>
    <x v="0"/>
    <s v="STORES"/>
  </r>
  <r>
    <x v="616"/>
    <d v="2010-11-09T00:00:00"/>
    <d v="2020-05-25T00:00:00"/>
    <n v="10"/>
    <m/>
    <s v="Abbotsford"/>
    <s v="Processed Foods"/>
    <s v="Shelf Stocker"/>
    <n v="1"/>
    <s v="F"/>
    <s v="Female"/>
    <x v="2"/>
    <x v="0"/>
    <s v="STORES"/>
  </r>
  <r>
    <x v="617"/>
    <d v="1993-03-28T00:00:00"/>
    <d v="2020-11-03T00:00:00"/>
    <n v="27"/>
    <m/>
    <s v="Abbotsford"/>
    <s v="Bakery"/>
    <s v="Baker"/>
    <n v="1"/>
    <s v="F"/>
    <s v="Female"/>
    <x v="2"/>
    <x v="0"/>
    <s v="STORES"/>
  </r>
  <r>
    <x v="618"/>
    <d v="2013-05-15T00:00:00"/>
    <d v="2020-07-26T00:00:00"/>
    <n v="7"/>
    <m/>
    <s v="Surrey"/>
    <s v="Produce"/>
    <s v="Produce Clerk"/>
    <n v="31"/>
    <s v="F"/>
    <s v="Female"/>
    <x v="2"/>
    <x v="0"/>
    <s v="STORES"/>
  </r>
  <r>
    <x v="619"/>
    <d v="2010-12-22T00:00:00"/>
    <d v="2020-12-21T00:00:00"/>
    <n v="10"/>
    <m/>
    <s v="Grand Forks"/>
    <s v="Bakery"/>
    <s v="Bakery Manager"/>
    <n v="13"/>
    <s v="F"/>
    <s v="Female"/>
    <x v="2"/>
    <x v="0"/>
    <s v="STORES"/>
  </r>
  <r>
    <x v="620"/>
    <d v="1998-05-16T00:00:00"/>
    <d v="2020-08-09T00:00:00"/>
    <n v="22"/>
    <m/>
    <s v="Vancouver"/>
    <s v="Meats"/>
    <s v="Meat Cutter"/>
    <n v="35"/>
    <s v="F"/>
    <s v="Female"/>
    <x v="2"/>
    <x v="0"/>
    <s v="STORES"/>
  </r>
  <r>
    <x v="621"/>
    <d v="2010-07-19T00:00:00"/>
    <d v="2020-11-15T00:00:00"/>
    <n v="10"/>
    <m/>
    <s v="Aldergrove"/>
    <s v="Produce"/>
    <s v="Produce Clerk"/>
    <n v="2"/>
    <s v="F"/>
    <s v="Female"/>
    <x v="2"/>
    <x v="0"/>
    <s v="STORES"/>
  </r>
  <r>
    <x v="622"/>
    <d v="1994-08-04T00:00:00"/>
    <d v="2020-01-12T00:00:00"/>
    <n v="26"/>
    <m/>
    <s v="Squamish"/>
    <s v="Produce"/>
    <s v="Produce Clerk"/>
    <n v="30"/>
    <s v="F"/>
    <s v="Female"/>
    <x v="2"/>
    <x v="0"/>
    <s v="STORES"/>
  </r>
  <r>
    <x v="623"/>
    <d v="2007-02-12T00:00:00"/>
    <d v="2020-05-07T00:00:00"/>
    <n v="13"/>
    <m/>
    <s v="Vancouver"/>
    <s v="Meats"/>
    <s v="Meat Cutter"/>
    <n v="35"/>
    <s v="F"/>
    <s v="Female"/>
    <x v="2"/>
    <x v="0"/>
    <s v="STORES"/>
  </r>
  <r>
    <x v="624"/>
    <d v="2010-12-02T00:00:00"/>
    <d v="2020-07-27T00:00:00"/>
    <n v="10"/>
    <m/>
    <s v="Surrey"/>
    <s v="Produce"/>
    <s v="Produce Clerk"/>
    <n v="31"/>
    <s v="F"/>
    <s v="Female"/>
    <x v="2"/>
    <x v="0"/>
    <s v="STORES"/>
  </r>
  <r>
    <x v="625"/>
    <d v="1990-10-22T00:00:00"/>
    <d v="2020-01-20T00:00:00"/>
    <n v="30"/>
    <m/>
    <s v="Vancouver"/>
    <s v="Meats"/>
    <s v="Meat Cutter"/>
    <n v="35"/>
    <s v="F"/>
    <s v="Female"/>
    <x v="2"/>
    <x v="0"/>
    <s v="STORES"/>
  </r>
  <r>
    <x v="626"/>
    <d v="2008-12-24T00:00:00"/>
    <d v="2020-04-08T00:00:00"/>
    <n v="12"/>
    <m/>
    <s v="Princeton"/>
    <s v="Bakery"/>
    <s v="Baker"/>
    <n v="27"/>
    <s v="F"/>
    <s v="Female"/>
    <x v="2"/>
    <x v="0"/>
    <s v="STORES"/>
  </r>
  <r>
    <x v="627"/>
    <d v="2005-07-23T00:00:00"/>
    <d v="2020-12-11T00:00:00"/>
    <n v="15"/>
    <m/>
    <s v="Vancouver"/>
    <s v="Meats"/>
    <s v="Meat Cutter"/>
    <n v="35"/>
    <s v="F"/>
    <s v="Female"/>
    <x v="2"/>
    <x v="0"/>
    <s v="STORES"/>
  </r>
  <r>
    <x v="628"/>
    <d v="2013-02-26T00:00:00"/>
    <d v="2020-10-17T00:00:00"/>
    <n v="7"/>
    <m/>
    <s v="Quesnel"/>
    <s v="Meats"/>
    <s v="Meat Cutter"/>
    <n v="28"/>
    <s v="F"/>
    <s v="Female"/>
    <x v="2"/>
    <x v="0"/>
    <s v="STORES"/>
  </r>
  <r>
    <x v="629"/>
    <d v="2006-09-08T00:00:00"/>
    <d v="2020-06-16T00:00:00"/>
    <n v="14"/>
    <m/>
    <s v="New Westminster"/>
    <s v="Produce"/>
    <s v="Produce Clerk"/>
    <n v="21"/>
    <s v="F"/>
    <s v="Female"/>
    <x v="2"/>
    <x v="0"/>
    <s v="STORES"/>
  </r>
  <r>
    <x v="630"/>
    <d v="2001-11-29T00:00:00"/>
    <d v="2020-09-28T00:00:00"/>
    <n v="19"/>
    <m/>
    <s v="Squamish"/>
    <s v="Produce"/>
    <s v="Produce Clerk"/>
    <n v="30"/>
    <s v="F"/>
    <s v="Female"/>
    <x v="1"/>
    <x v="0"/>
    <s v="STORES"/>
  </r>
  <r>
    <x v="631"/>
    <d v="2013-11-25T00:00:00"/>
    <d v="2020-09-17T00:00:00"/>
    <n v="7"/>
    <m/>
    <s v="Nanaimo"/>
    <s v="Produce"/>
    <s v="Produce Clerk"/>
    <n v="18"/>
    <s v="F"/>
    <s v="Female"/>
    <x v="2"/>
    <x v="0"/>
    <s v="STORES"/>
  </r>
  <r>
    <x v="632"/>
    <d v="2000-03-06T00:00:00"/>
    <d v="2020-08-26T00:00:00"/>
    <n v="20"/>
    <m/>
    <s v="Aldergrove"/>
    <s v="Produce"/>
    <s v="Produce Clerk"/>
    <n v="2"/>
    <s v="F"/>
    <s v="Female"/>
    <x v="2"/>
    <x v="0"/>
    <s v="STORES"/>
  </r>
  <r>
    <x v="633"/>
    <d v="2001-01-31T00:00:00"/>
    <d v="2020-11-03T00:00:00"/>
    <n v="19"/>
    <m/>
    <s v="Vancouver"/>
    <s v="Meats"/>
    <s v="Meat Cutter"/>
    <n v="35"/>
    <s v="F"/>
    <s v="Female"/>
    <x v="2"/>
    <x v="0"/>
    <s v="STORES"/>
  </r>
  <r>
    <x v="634"/>
    <d v="1999-06-21T00:00:00"/>
    <d v="2020-05-30T00:00:00"/>
    <n v="21"/>
    <m/>
    <s v="Cranbrook"/>
    <s v="Produce"/>
    <s v="Produce Clerk"/>
    <n v="8"/>
    <s v="F"/>
    <s v="Female"/>
    <x v="2"/>
    <x v="0"/>
    <s v="STORES"/>
  </r>
  <r>
    <x v="635"/>
    <d v="2003-07-01T00:00:00"/>
    <d v="2020-10-13T00:00:00"/>
    <n v="17"/>
    <m/>
    <s v="Vancouver"/>
    <s v="Meats"/>
    <s v="Meat Cutter"/>
    <n v="35"/>
    <s v="F"/>
    <s v="Female"/>
    <x v="2"/>
    <x v="0"/>
    <s v="STORES"/>
  </r>
  <r>
    <x v="636"/>
    <d v="1994-11-19T00:00:00"/>
    <d v="2020-08-18T00:00:00"/>
    <n v="26"/>
    <m/>
    <s v="Vancouver"/>
    <s v="Meats"/>
    <s v="Meat Cutter"/>
    <n v="35"/>
    <s v="M"/>
    <s v="Male"/>
    <x v="2"/>
    <x v="0"/>
    <s v="STORES"/>
  </r>
  <r>
    <x v="637"/>
    <d v="1999-06-27T00:00:00"/>
    <d v="2020-04-26T00:00:00"/>
    <n v="21"/>
    <m/>
    <s v="Kelowna"/>
    <s v="Produce"/>
    <s v="Produce Clerk"/>
    <n v="16"/>
    <s v="F"/>
    <s v="Female"/>
    <x v="2"/>
    <x v="0"/>
    <s v="STORES"/>
  </r>
  <r>
    <x v="638"/>
    <d v="1994-07-24T00:00:00"/>
    <d v="2020-07-20T00:00:00"/>
    <n v="26"/>
    <m/>
    <s v="Kelowna"/>
    <s v="Produce"/>
    <s v="Produce Clerk"/>
    <n v="16"/>
    <s v="F"/>
    <s v="Female"/>
    <x v="2"/>
    <x v="0"/>
    <s v="STORES"/>
  </r>
  <r>
    <x v="639"/>
    <d v="1995-04-25T00:00:00"/>
    <d v="2020-02-25T00:00:00"/>
    <n v="25"/>
    <m/>
    <s v="Abbotsford"/>
    <s v="Bakery"/>
    <s v="Baker"/>
    <n v="1"/>
    <s v="F"/>
    <s v="Female"/>
    <x v="2"/>
    <x v="0"/>
    <s v="STORES"/>
  </r>
  <r>
    <x v="640"/>
    <d v="2007-09-16T00:00:00"/>
    <d v="2020-12-02T00:00:00"/>
    <n v="13"/>
    <m/>
    <s v="Surrey"/>
    <s v="Produce"/>
    <s v="Produce Clerk"/>
    <n v="31"/>
    <s v="M"/>
    <s v="Male"/>
    <x v="2"/>
    <x v="0"/>
    <s v="STORES"/>
  </r>
  <r>
    <x v="641"/>
    <d v="1996-05-02T00:00:00"/>
    <d v="2020-09-18T00:00:00"/>
    <n v="24"/>
    <m/>
    <s v="Terrace"/>
    <s v="Produce"/>
    <s v="Produce Clerk"/>
    <n v="32"/>
    <s v="M"/>
    <s v="Male"/>
    <x v="2"/>
    <x v="0"/>
    <s v="STORES"/>
  </r>
  <r>
    <x v="642"/>
    <d v="1995-02-23T00:00:00"/>
    <d v="2020-05-17T00:00:00"/>
    <n v="25"/>
    <m/>
    <s v="Fort Nelson"/>
    <s v="Produce"/>
    <s v="Produce Clerk"/>
    <n v="11"/>
    <s v="M"/>
    <s v="Male"/>
    <x v="2"/>
    <x v="0"/>
    <s v="STORES"/>
  </r>
  <r>
    <x v="643"/>
    <d v="1990-07-11T00:00:00"/>
    <d v="2020-10-01T00:00:00"/>
    <n v="30"/>
    <m/>
    <s v="Richmond"/>
    <s v="Produce"/>
    <s v="Produce Clerk"/>
    <n v="29"/>
    <s v="M"/>
    <s v="Male"/>
    <x v="2"/>
    <x v="0"/>
    <s v="STORES"/>
  </r>
  <r>
    <x v="644"/>
    <d v="2003-07-22T00:00:00"/>
    <d v="2020-05-06T00:00:00"/>
    <n v="17"/>
    <m/>
    <s v="Vancouver"/>
    <s v="Meats"/>
    <s v="Meat Cutter"/>
    <n v="35"/>
    <s v="M"/>
    <s v="Male"/>
    <x v="2"/>
    <x v="0"/>
    <s v="STORES"/>
  </r>
  <r>
    <x v="645"/>
    <d v="1996-01-31T00:00:00"/>
    <d v="2020-10-22T00:00:00"/>
    <n v="24"/>
    <m/>
    <s v="Victoria"/>
    <s v="Produce"/>
    <s v="Produce Clerk"/>
    <n v="37"/>
    <s v="F"/>
    <s v="Female"/>
    <x v="2"/>
    <x v="0"/>
    <s v="STORES"/>
  </r>
  <r>
    <x v="646"/>
    <d v="1995-12-16T00:00:00"/>
    <d v="2020-02-01T00:00:00"/>
    <n v="25"/>
    <m/>
    <s v="Vancouver"/>
    <s v="Meats"/>
    <s v="Meat Cutter"/>
    <n v="35"/>
    <s v="M"/>
    <s v="Male"/>
    <x v="2"/>
    <x v="0"/>
    <s v="STORES"/>
  </r>
  <r>
    <x v="647"/>
    <d v="2010-11-17T00:00:00"/>
    <d v="2020-09-07T00:00:00"/>
    <n v="10"/>
    <m/>
    <s v="Squamish"/>
    <s v="Produce"/>
    <s v="Produce Clerk"/>
    <n v="30"/>
    <s v="F"/>
    <s v="Female"/>
    <x v="2"/>
    <x v="0"/>
    <s v="STORES"/>
  </r>
  <r>
    <x v="648"/>
    <d v="2009-04-20T00:00:00"/>
    <d v="2020-03-09T00:00:00"/>
    <n v="11"/>
    <m/>
    <s v="Victoria"/>
    <s v="Produce"/>
    <s v="Produce Clerk"/>
    <n v="37"/>
    <s v="F"/>
    <s v="Female"/>
    <x v="2"/>
    <x v="0"/>
    <s v="STORES"/>
  </r>
  <r>
    <x v="649"/>
    <d v="1996-10-23T00:00:00"/>
    <d v="2020-09-09T00:00:00"/>
    <n v="24"/>
    <m/>
    <s v="Kamloops"/>
    <s v="Produce"/>
    <s v="Produce Clerk"/>
    <n v="15"/>
    <s v="M"/>
    <s v="Male"/>
    <x v="1"/>
    <x v="0"/>
    <s v="STORES"/>
  </r>
  <r>
    <x v="650"/>
    <d v="2000-08-29T00:00:00"/>
    <d v="2020-06-27T00:00:00"/>
    <n v="20"/>
    <m/>
    <s v="Fort Nelson"/>
    <s v="Meats"/>
    <s v="Meat Cutter"/>
    <n v="11"/>
    <s v="F"/>
    <s v="Female"/>
    <x v="2"/>
    <x v="0"/>
    <s v="STORES"/>
  </r>
  <r>
    <x v="651"/>
    <d v="2002-09-12T00:00:00"/>
    <d v="2020-08-01T00:00:00"/>
    <n v="18"/>
    <m/>
    <s v="Victoria"/>
    <s v="Produce"/>
    <s v="Produce Clerk"/>
    <n v="37"/>
    <s v="M"/>
    <s v="Male"/>
    <x v="2"/>
    <x v="0"/>
    <s v="STORES"/>
  </r>
  <r>
    <x v="652"/>
    <d v="2013-02-06T00:00:00"/>
    <d v="2020-07-07T00:00:00"/>
    <n v="7"/>
    <m/>
    <s v="Surrey"/>
    <s v="Produce"/>
    <s v="Produce Clerk"/>
    <n v="31"/>
    <s v="F"/>
    <s v="Female"/>
    <x v="2"/>
    <x v="0"/>
    <s v="STORES"/>
  </r>
  <r>
    <x v="653"/>
    <d v="2006-09-25T00:00:00"/>
    <d v="2020-10-26T00:00:00"/>
    <n v="14"/>
    <m/>
    <s v="Nanaimo"/>
    <s v="Produce"/>
    <s v="Produce Clerk"/>
    <n v="18"/>
    <s v="M"/>
    <s v="Male"/>
    <x v="2"/>
    <x v="0"/>
    <s v="STORES"/>
  </r>
  <r>
    <x v="654"/>
    <d v="2000-01-29T00:00:00"/>
    <d v="2020-08-20T00:00:00"/>
    <n v="20"/>
    <m/>
    <s v="Vancouver"/>
    <s v="Meats"/>
    <s v="Meat Cutter"/>
    <n v="35"/>
    <s v="F"/>
    <s v="Female"/>
    <x v="2"/>
    <x v="0"/>
    <s v="STORES"/>
  </r>
  <r>
    <x v="655"/>
    <d v="1991-01-26T00:00:00"/>
    <d v="2020-10-10T00:00:00"/>
    <n v="29"/>
    <m/>
    <s v="Nanaimo"/>
    <s v="Produce"/>
    <s v="Produce Clerk"/>
    <n v="18"/>
    <s v="F"/>
    <s v="Female"/>
    <x v="2"/>
    <x v="0"/>
    <s v="STORES"/>
  </r>
  <r>
    <x v="656"/>
    <d v="2013-09-04T00:00:00"/>
    <d v="2020-04-29T00:00:00"/>
    <n v="7"/>
    <m/>
    <s v="Nanaimo"/>
    <s v="Produce"/>
    <s v="Produce Clerk"/>
    <n v="18"/>
    <s v="F"/>
    <s v="Female"/>
    <x v="2"/>
    <x v="0"/>
    <s v="STORES"/>
  </r>
  <r>
    <x v="657"/>
    <d v="1999-03-05T00:00:00"/>
    <d v="2020-07-09T00:00:00"/>
    <n v="21"/>
    <m/>
    <s v="Prince George"/>
    <s v="Produce"/>
    <s v="Produce Clerk"/>
    <n v="26"/>
    <s v="M"/>
    <s v="Male"/>
    <x v="2"/>
    <x v="0"/>
    <s v="STORES"/>
  </r>
  <r>
    <x v="658"/>
    <d v="1997-04-26T00:00:00"/>
    <d v="2020-11-09T00:00:00"/>
    <n v="23"/>
    <m/>
    <s v="Burnaby"/>
    <s v="Produce"/>
    <s v="Produce Clerk"/>
    <n v="5"/>
    <s v="M"/>
    <s v="Male"/>
    <x v="2"/>
    <x v="0"/>
    <s v="STORES"/>
  </r>
  <r>
    <x v="659"/>
    <d v="2009-05-17T00:00:00"/>
    <d v="2020-01-18T00:00:00"/>
    <n v="11"/>
    <m/>
    <s v="Victoria"/>
    <s v="Produce"/>
    <s v="Produce Clerk"/>
    <n v="37"/>
    <s v="M"/>
    <s v="Male"/>
    <x v="2"/>
    <x v="0"/>
    <s v="STORES"/>
  </r>
  <r>
    <x v="660"/>
    <d v="2012-03-27T00:00:00"/>
    <d v="2020-10-24T00:00:00"/>
    <n v="8"/>
    <m/>
    <s v="Surrey"/>
    <s v="Produce"/>
    <s v="Produce Clerk"/>
    <n v="31"/>
    <s v="M"/>
    <s v="Male"/>
    <x v="2"/>
    <x v="0"/>
    <s v="STORES"/>
  </r>
  <r>
    <x v="661"/>
    <d v="2012-09-17T00:00:00"/>
    <d v="2020-04-23T00:00:00"/>
    <n v="8"/>
    <m/>
    <s v="Victoria"/>
    <s v="Produce"/>
    <s v="Produce Clerk"/>
    <n v="37"/>
    <s v="M"/>
    <s v="Male"/>
    <x v="2"/>
    <x v="0"/>
    <s v="STORES"/>
  </r>
  <r>
    <x v="662"/>
    <d v="2014-01-20T00:00:00"/>
    <d v="2020-12-10T00:00:00"/>
    <n v="6"/>
    <m/>
    <s v="Surrey"/>
    <s v="Produce"/>
    <s v="Produce Clerk"/>
    <n v="31"/>
    <s v="F"/>
    <s v="Female"/>
    <x v="2"/>
    <x v="0"/>
    <s v="STORES"/>
  </r>
  <r>
    <x v="663"/>
    <d v="2009-07-14T00:00:00"/>
    <d v="2020-11-12T00:00:00"/>
    <n v="11"/>
    <m/>
    <s v="Vernon"/>
    <s v="Produce"/>
    <s v="Produce Clerk"/>
    <n v="36"/>
    <s v="M"/>
    <s v="Male"/>
    <x v="2"/>
    <x v="0"/>
    <s v="STORES"/>
  </r>
  <r>
    <x v="664"/>
    <d v="2001-08-02T00:00:00"/>
    <d v="2020-12-18T00:00:00"/>
    <n v="19"/>
    <m/>
    <s v="Kelowna"/>
    <s v="Produce"/>
    <s v="Produce Clerk"/>
    <n v="16"/>
    <s v="M"/>
    <s v="Male"/>
    <x v="1"/>
    <x v="0"/>
    <s v="STORES"/>
  </r>
  <r>
    <x v="665"/>
    <d v="2008-04-08T00:00:00"/>
    <d v="2020-11-28T00:00:00"/>
    <n v="12"/>
    <m/>
    <s v="Haney"/>
    <s v="Bakery"/>
    <s v="Baker"/>
    <n v="14"/>
    <s v="M"/>
    <s v="Male"/>
    <x v="2"/>
    <x v="0"/>
    <s v="STORES"/>
  </r>
  <r>
    <x v="666"/>
    <d v="1998-06-14T00:00:00"/>
    <d v="2020-04-01T00:00:00"/>
    <n v="22"/>
    <m/>
    <s v="New Westminster"/>
    <s v="Produce"/>
    <s v="Produce Clerk"/>
    <n v="21"/>
    <s v="M"/>
    <s v="Male"/>
    <x v="2"/>
    <x v="0"/>
    <s v="STORES"/>
  </r>
  <r>
    <x v="667"/>
    <d v="1991-02-28T00:00:00"/>
    <d v="2020-12-22T00:00:00"/>
    <n v="29"/>
    <m/>
    <s v="Grand Forks"/>
    <s v="Dairy"/>
    <s v="Dairy Person"/>
    <n v="13"/>
    <s v="M"/>
    <s v="Male"/>
    <x v="2"/>
    <x v="0"/>
    <s v="STORES"/>
  </r>
  <r>
    <x v="668"/>
    <d v="2014-01-28T00:00:00"/>
    <d v="2020-08-15T00:00:00"/>
    <n v="6"/>
    <m/>
    <s v="Langley"/>
    <s v="Produce"/>
    <s v="Produce Clerk"/>
    <n v="17"/>
    <s v="M"/>
    <s v="Male"/>
    <x v="2"/>
    <x v="0"/>
    <s v="STORES"/>
  </r>
  <r>
    <x v="669"/>
    <d v="1990-04-21T00:00:00"/>
    <d v="2020-12-29T00:00:00"/>
    <n v="30"/>
    <m/>
    <s v="New Westminster"/>
    <s v="Produce"/>
    <s v="Produce Clerk"/>
    <n v="21"/>
    <s v="M"/>
    <s v="Male"/>
    <x v="2"/>
    <x v="0"/>
    <s v="STORES"/>
  </r>
  <r>
    <x v="670"/>
    <d v="1991-07-19T00:00:00"/>
    <d v="2020-08-18T00:00:00"/>
    <n v="29"/>
    <m/>
    <s v="Victoria"/>
    <s v="Customer Service"/>
    <s v="Cashier"/>
    <n v="46"/>
    <s v="M"/>
    <s v="Male"/>
    <x v="1"/>
    <x v="0"/>
    <s v="STORES"/>
  </r>
  <r>
    <x v="671"/>
    <d v="2005-06-22T00:00:00"/>
    <d v="2020-09-23T00:00:00"/>
    <n v="15"/>
    <m/>
    <s v="Fort St John"/>
    <s v="Produce"/>
    <s v="Produce Clerk"/>
    <n v="12"/>
    <s v="M"/>
    <s v="Male"/>
    <x v="2"/>
    <x v="0"/>
    <s v="STORES"/>
  </r>
  <r>
    <x v="672"/>
    <d v="2002-03-31T00:00:00"/>
    <d v="2020-12-08T00:00:00"/>
    <n v="18"/>
    <m/>
    <s v="Princeton"/>
    <s v="Produce"/>
    <s v="Produce Clerk"/>
    <n v="27"/>
    <s v="M"/>
    <s v="Male"/>
    <x v="2"/>
    <x v="0"/>
    <s v="STORES"/>
  </r>
  <r>
    <x v="673"/>
    <d v="2001-06-14T00:00:00"/>
    <d v="2020-04-25T00:00:00"/>
    <n v="19"/>
    <m/>
    <s v="Quesnel"/>
    <s v="Meats"/>
    <s v="Meat Cutter"/>
    <n v="28"/>
    <s v="M"/>
    <s v="Male"/>
    <x v="2"/>
    <x v="0"/>
    <s v="STORES"/>
  </r>
  <r>
    <x v="674"/>
    <d v="1999-07-15T00:00:00"/>
    <d v="2020-11-22T00:00:00"/>
    <n v="21"/>
    <m/>
    <s v="Quesnel"/>
    <s v="Meats"/>
    <s v="Meat Cutter"/>
    <n v="28"/>
    <s v="M"/>
    <s v="Male"/>
    <x v="2"/>
    <x v="0"/>
    <s v="STORES"/>
  </r>
  <r>
    <x v="675"/>
    <d v="1992-11-23T00:00:00"/>
    <d v="2020-01-30T00:00:00"/>
    <n v="28"/>
    <m/>
    <s v="Aldergrove"/>
    <s v="Produce"/>
    <s v="Produce Clerk"/>
    <n v="2"/>
    <s v="M"/>
    <s v="Male"/>
    <x v="2"/>
    <x v="0"/>
    <s v="STORES"/>
  </r>
  <r>
    <x v="676"/>
    <d v="1998-04-10T00:00:00"/>
    <d v="2020-02-08T00:00:00"/>
    <n v="22"/>
    <m/>
    <s v="Burnaby"/>
    <s v="Produce"/>
    <s v="Produce Clerk"/>
    <n v="5"/>
    <s v="F"/>
    <s v="Female"/>
    <x v="2"/>
    <x v="0"/>
    <s v="STORES"/>
  </r>
  <r>
    <x v="677"/>
    <d v="2003-07-06T00:00:00"/>
    <d v="2020-11-04T00:00:00"/>
    <n v="17"/>
    <m/>
    <s v="Vancouver"/>
    <s v="Meats"/>
    <s v="Meat Cutter"/>
    <n v="35"/>
    <s v="F"/>
    <s v="Female"/>
    <x v="2"/>
    <x v="0"/>
    <s v="STORES"/>
  </r>
  <r>
    <x v="678"/>
    <d v="2005-01-17T00:00:00"/>
    <d v="2020-02-01T00:00:00"/>
    <n v="15"/>
    <m/>
    <s v="Fort St John"/>
    <s v="Produce"/>
    <s v="Produce Clerk"/>
    <n v="12"/>
    <s v="M"/>
    <s v="Male"/>
    <x v="2"/>
    <x v="0"/>
    <s v="STORES"/>
  </r>
  <r>
    <x v="679"/>
    <d v="2013-08-10T00:00:00"/>
    <d v="2020-10-15T00:00:00"/>
    <n v="7"/>
    <m/>
    <s v="Vancouver"/>
    <s v="Meats"/>
    <s v="Meat Cutter"/>
    <n v="35"/>
    <s v="F"/>
    <s v="Female"/>
    <x v="2"/>
    <x v="0"/>
    <s v="STORES"/>
  </r>
  <r>
    <x v="680"/>
    <d v="2005-04-24T00:00:00"/>
    <d v="2020-01-25T00:00:00"/>
    <n v="15"/>
    <m/>
    <s v="Vancouver"/>
    <s v="Meats"/>
    <s v="Meat Cutter"/>
    <n v="35"/>
    <s v="F"/>
    <s v="Female"/>
    <x v="2"/>
    <x v="0"/>
    <s v="STORES"/>
  </r>
  <r>
    <x v="681"/>
    <d v="1994-09-17T00:00:00"/>
    <d v="2020-01-21T00:00:00"/>
    <n v="26"/>
    <m/>
    <s v="Surrey"/>
    <s v="Produce"/>
    <s v="Produce Clerk"/>
    <n v="31"/>
    <s v="F"/>
    <s v="Female"/>
    <x v="2"/>
    <x v="0"/>
    <s v="STORES"/>
  </r>
  <r>
    <x v="682"/>
    <d v="2002-07-31T00:00:00"/>
    <d v="2020-06-27T00:00:00"/>
    <n v="18"/>
    <m/>
    <s v="Fort Nelson"/>
    <s v="Meats"/>
    <s v="Meat Cutter"/>
    <n v="11"/>
    <s v="F"/>
    <s v="Female"/>
    <x v="2"/>
    <x v="0"/>
    <s v="STORES"/>
  </r>
  <r>
    <x v="683"/>
    <d v="1996-01-18T00:00:00"/>
    <d v="2020-12-18T00:00:00"/>
    <n v="24"/>
    <m/>
    <s v="Vancouver"/>
    <s v="Meats"/>
    <s v="Meat Cutter"/>
    <n v="35"/>
    <s v="M"/>
    <s v="Male"/>
    <x v="2"/>
    <x v="0"/>
    <s v="STORES"/>
  </r>
  <r>
    <x v="684"/>
    <d v="1993-09-22T00:00:00"/>
    <d v="2020-10-14T00:00:00"/>
    <n v="27"/>
    <m/>
    <s v="Vancouver"/>
    <s v="Bakery"/>
    <s v="Baker"/>
    <n v="42"/>
    <s v="M"/>
    <s v="Male"/>
    <x v="1"/>
    <x v="0"/>
    <s v="STORES"/>
  </r>
  <r>
    <x v="685"/>
    <d v="2011-12-07T00:00:00"/>
    <d v="2020-05-04T00:00:00"/>
    <n v="9"/>
    <m/>
    <s v="Terrace"/>
    <s v="Bakery"/>
    <s v="Baker"/>
    <n v="32"/>
    <s v="M"/>
    <s v="Male"/>
    <x v="1"/>
    <x v="0"/>
    <s v="STORES"/>
  </r>
  <r>
    <x v="686"/>
    <d v="2002-05-16T00:00:00"/>
    <d v="2020-11-26T00:00:00"/>
    <n v="18"/>
    <m/>
    <s v="Vancouver"/>
    <s v="Meats"/>
    <s v="Meat Cutter"/>
    <n v="35"/>
    <s v="M"/>
    <s v="Male"/>
    <x v="2"/>
    <x v="0"/>
    <s v="STORES"/>
  </r>
  <r>
    <x v="687"/>
    <d v="1990-06-10T00:00:00"/>
    <d v="2020-11-18T00:00:00"/>
    <n v="30"/>
    <m/>
    <s v="New Westminster"/>
    <s v="Produce"/>
    <s v="Produce Clerk"/>
    <n v="21"/>
    <s v="F"/>
    <s v="Female"/>
    <x v="2"/>
    <x v="0"/>
    <s v="STORES"/>
  </r>
  <r>
    <x v="688"/>
    <d v="2013-04-05T00:00:00"/>
    <d v="2020-08-29T00:00:00"/>
    <n v="7"/>
    <m/>
    <s v="Haney"/>
    <s v="Dairy"/>
    <s v="Dairy Person"/>
    <n v="14"/>
    <s v="F"/>
    <s v="Female"/>
    <x v="2"/>
    <x v="0"/>
    <s v="STORES"/>
  </r>
  <r>
    <x v="689"/>
    <d v="1998-10-29T00:00:00"/>
    <d v="2020-01-27T00:00:00"/>
    <n v="22"/>
    <m/>
    <s v="Quesnel"/>
    <s v="Meats"/>
    <s v="Meat Cutter"/>
    <n v="28"/>
    <s v="M"/>
    <s v="Male"/>
    <x v="2"/>
    <x v="0"/>
    <s v="STORES"/>
  </r>
  <r>
    <x v="690"/>
    <d v="2007-12-20T00:00:00"/>
    <d v="2020-07-14T00:00:00"/>
    <n v="13"/>
    <m/>
    <s v="Haney"/>
    <s v="Dairy"/>
    <s v="Dairy Person"/>
    <n v="14"/>
    <s v="M"/>
    <s v="Male"/>
    <x v="2"/>
    <x v="0"/>
    <s v="STORES"/>
  </r>
  <r>
    <x v="691"/>
    <d v="2006-12-09T00:00:00"/>
    <d v="2020-10-05T00:00:00"/>
    <n v="14"/>
    <m/>
    <s v="Victoria"/>
    <s v="Produce"/>
    <s v="Produce Clerk"/>
    <n v="37"/>
    <s v="M"/>
    <s v="Male"/>
    <x v="2"/>
    <x v="0"/>
    <s v="STORES"/>
  </r>
  <r>
    <x v="692"/>
    <d v="1992-12-16T00:00:00"/>
    <d v="2020-04-09T00:00:00"/>
    <n v="28"/>
    <m/>
    <s v="Abbotsford"/>
    <s v="Bakery"/>
    <s v="Baker"/>
    <n v="1"/>
    <s v="F"/>
    <s v="Female"/>
    <x v="2"/>
    <x v="0"/>
    <s v="STORES"/>
  </r>
  <r>
    <x v="693"/>
    <d v="1998-08-22T00:00:00"/>
    <d v="2020-12-06T00:00:00"/>
    <n v="22"/>
    <m/>
    <s v="Langley"/>
    <s v="Produce"/>
    <s v="Produce Clerk"/>
    <n v="17"/>
    <s v="M"/>
    <s v="Male"/>
    <x v="2"/>
    <x v="0"/>
    <s v="STORES"/>
  </r>
  <r>
    <x v="694"/>
    <d v="2013-01-26T00:00:00"/>
    <d v="2020-08-01T00:00:00"/>
    <n v="7"/>
    <m/>
    <s v="White Rock"/>
    <s v="Customer Service"/>
    <s v="Cashier"/>
    <n v="39"/>
    <s v="F"/>
    <s v="Female"/>
    <x v="2"/>
    <x v="0"/>
    <s v="STORES"/>
  </r>
  <r>
    <x v="695"/>
    <d v="1990-06-21T00:00:00"/>
    <d v="2020-10-26T00:00:00"/>
    <n v="30"/>
    <m/>
    <s v="Chilliwack"/>
    <s v="Produce"/>
    <s v="Produce Clerk"/>
    <n v="6"/>
    <s v="F"/>
    <s v="Female"/>
    <x v="2"/>
    <x v="0"/>
    <s v="STORES"/>
  </r>
  <r>
    <x v="696"/>
    <d v="2006-08-30T00:00:00"/>
    <d v="2020-09-19T00:00:00"/>
    <n v="14"/>
    <m/>
    <s v="New Westminster"/>
    <s v="Produce"/>
    <s v="Produce Clerk"/>
    <n v="21"/>
    <s v="F"/>
    <s v="Female"/>
    <x v="2"/>
    <x v="0"/>
    <s v="STORES"/>
  </r>
  <r>
    <x v="697"/>
    <d v="2011-05-04T00:00:00"/>
    <d v="2020-06-13T00:00:00"/>
    <n v="9"/>
    <m/>
    <s v="Victoria"/>
    <s v="Produce"/>
    <s v="Produce Clerk"/>
    <n v="37"/>
    <s v="F"/>
    <s v="Female"/>
    <x v="2"/>
    <x v="0"/>
    <s v="STORES"/>
  </r>
  <r>
    <x v="698"/>
    <d v="2000-12-02T00:00:00"/>
    <d v="2020-12-13T00:00:00"/>
    <n v="20"/>
    <m/>
    <s v="New Westminister"/>
    <s v="Meats"/>
    <s v="Meat Cutter"/>
    <n v="20"/>
    <s v="M"/>
    <s v="Male"/>
    <x v="2"/>
    <x v="0"/>
    <s v="STORES"/>
  </r>
  <r>
    <x v="699"/>
    <d v="1996-10-26T00:00:00"/>
    <d v="2020-03-21T00:00:00"/>
    <n v="24"/>
    <m/>
    <s v="Quesnel"/>
    <s v="Meats"/>
    <s v="Meat Cutter"/>
    <n v="28"/>
    <s v="M"/>
    <s v="Male"/>
    <x v="2"/>
    <x v="0"/>
    <s v="STORES"/>
  </r>
  <r>
    <x v="700"/>
    <d v="2006-11-21T00:00:00"/>
    <d v="2020-12-14T00:00:00"/>
    <n v="14"/>
    <m/>
    <s v="Vancouver"/>
    <s v="Bakery"/>
    <s v="Baker"/>
    <n v="42"/>
    <s v="F"/>
    <s v="Female"/>
    <x v="1"/>
    <x v="0"/>
    <s v="STORES"/>
  </r>
  <r>
    <x v="701"/>
    <d v="1990-02-28T00:00:00"/>
    <d v="2020-03-10T00:00:00"/>
    <n v="30"/>
    <m/>
    <s v="Nanaimo"/>
    <s v="Produce"/>
    <s v="Produce Clerk"/>
    <n v="18"/>
    <s v="F"/>
    <s v="Female"/>
    <x v="2"/>
    <x v="0"/>
    <s v="STORES"/>
  </r>
  <r>
    <x v="702"/>
    <d v="2003-11-26T00:00:00"/>
    <d v="2020-08-15T00:00:00"/>
    <n v="17"/>
    <m/>
    <s v="Victoria"/>
    <s v="Produce"/>
    <s v="Produce Clerk"/>
    <n v="37"/>
    <s v="M"/>
    <s v="Male"/>
    <x v="2"/>
    <x v="0"/>
    <s v="STORES"/>
  </r>
  <r>
    <x v="703"/>
    <d v="2013-12-26T00:00:00"/>
    <d v="2020-05-27T00:00:00"/>
    <n v="7"/>
    <m/>
    <s v="Kelowna"/>
    <s v="Produce"/>
    <s v="Produce Clerk"/>
    <n v="16"/>
    <s v="M"/>
    <s v="Male"/>
    <x v="2"/>
    <x v="0"/>
    <s v="STORES"/>
  </r>
  <r>
    <x v="704"/>
    <d v="1999-07-18T00:00:00"/>
    <d v="2020-07-30T00:00:00"/>
    <n v="21"/>
    <m/>
    <s v="Vancouver"/>
    <s v="Meats"/>
    <s v="Meat Cutter"/>
    <n v="35"/>
    <s v="F"/>
    <s v="Female"/>
    <x v="2"/>
    <x v="0"/>
    <s v="STORES"/>
  </r>
  <r>
    <x v="705"/>
    <d v="1997-12-14T00:00:00"/>
    <d v="2020-11-18T00:00:00"/>
    <n v="23"/>
    <m/>
    <s v="Terrace"/>
    <s v="Produce"/>
    <s v="Produce Clerk"/>
    <n v="32"/>
    <s v="F"/>
    <s v="Female"/>
    <x v="2"/>
    <x v="0"/>
    <s v="STORES"/>
  </r>
  <r>
    <x v="706"/>
    <d v="2014-04-08T00:00:00"/>
    <d v="2020-10-23T00:00:00"/>
    <n v="6"/>
    <m/>
    <s v="Surrey"/>
    <s v="Produce"/>
    <s v="Produce Clerk"/>
    <n v="31"/>
    <s v="M"/>
    <s v="Male"/>
    <x v="2"/>
    <x v="0"/>
    <s v="STORES"/>
  </r>
  <r>
    <x v="707"/>
    <d v="2012-06-01T00:00:00"/>
    <d v="2020-04-13T00:00:00"/>
    <n v="8"/>
    <m/>
    <s v="Richmond"/>
    <s v="Produce"/>
    <s v="Produce Clerk"/>
    <n v="29"/>
    <s v="M"/>
    <s v="Male"/>
    <x v="2"/>
    <x v="0"/>
    <s v="STORES"/>
  </r>
  <r>
    <x v="708"/>
    <d v="1996-09-13T00:00:00"/>
    <d v="2020-12-07T00:00:00"/>
    <n v="24"/>
    <m/>
    <s v="New Westminster"/>
    <s v="Produce"/>
    <s v="Produce Clerk"/>
    <n v="21"/>
    <s v="F"/>
    <s v="Female"/>
    <x v="1"/>
    <x v="0"/>
    <s v="STORES"/>
  </r>
  <r>
    <x v="709"/>
    <d v="2009-06-01T00:00:00"/>
    <d v="2020-02-07T00:00:00"/>
    <n v="11"/>
    <m/>
    <s v="Grand Forks"/>
    <s v="Produce"/>
    <s v="Produce Clerk"/>
    <n v="13"/>
    <s v="M"/>
    <s v="Male"/>
    <x v="2"/>
    <x v="0"/>
    <s v="STORES"/>
  </r>
  <r>
    <x v="710"/>
    <d v="2013-11-21T00:00:00"/>
    <d v="2020-06-20T00:00:00"/>
    <n v="7"/>
    <m/>
    <s v="Kelowna"/>
    <s v="Produce"/>
    <s v="Produce Clerk"/>
    <n v="16"/>
    <s v="M"/>
    <s v="Male"/>
    <x v="2"/>
    <x v="0"/>
    <s v="STORES"/>
  </r>
  <r>
    <x v="711"/>
    <d v="2008-09-22T00:00:00"/>
    <d v="2020-12-27T00:00:00"/>
    <n v="12"/>
    <m/>
    <s v="Vancouver"/>
    <s v="Bakery"/>
    <s v="Baker"/>
    <n v="42"/>
    <s v="F"/>
    <s v="Female"/>
    <x v="1"/>
    <x v="0"/>
    <s v="STORES"/>
  </r>
  <r>
    <x v="712"/>
    <d v="2013-09-06T00:00:00"/>
    <d v="2020-07-20T00:00:00"/>
    <n v="7"/>
    <m/>
    <s v="Vancouver"/>
    <s v="Meats"/>
    <s v="Meat Cutter"/>
    <n v="35"/>
    <s v="F"/>
    <s v="Female"/>
    <x v="2"/>
    <x v="0"/>
    <s v="STORES"/>
  </r>
  <r>
    <x v="713"/>
    <d v="1997-06-17T00:00:00"/>
    <d v="2020-03-30T00:00:00"/>
    <n v="23"/>
    <m/>
    <s v="Prince George"/>
    <s v="Produce"/>
    <s v="Produce Clerk"/>
    <n v="26"/>
    <s v="M"/>
    <s v="Male"/>
    <x v="2"/>
    <x v="0"/>
    <s v="STORES"/>
  </r>
  <r>
    <x v="714"/>
    <d v="2003-06-11T00:00:00"/>
    <d v="2020-05-30T00:00:00"/>
    <n v="17"/>
    <m/>
    <s v="New Westminister"/>
    <s v="Meats"/>
    <s v="Meat Cutter"/>
    <n v="20"/>
    <s v="F"/>
    <s v="Female"/>
    <x v="2"/>
    <x v="0"/>
    <s v="STORES"/>
  </r>
  <r>
    <x v="715"/>
    <d v="2005-01-24T00:00:00"/>
    <d v="2020-04-22T00:00:00"/>
    <n v="15"/>
    <m/>
    <s v="Port Coquitlam"/>
    <s v="Produce"/>
    <s v="Produce Clerk"/>
    <n v="25"/>
    <s v="F"/>
    <s v="Female"/>
    <x v="2"/>
    <x v="0"/>
    <s v="STORES"/>
  </r>
  <r>
    <x v="716"/>
    <d v="2011-01-15T00:00:00"/>
    <d v="2020-02-12T00:00:00"/>
    <n v="9"/>
    <m/>
    <s v="Victoria"/>
    <s v="Produce"/>
    <s v="Produce Clerk"/>
    <n v="37"/>
    <s v="M"/>
    <s v="Male"/>
    <x v="2"/>
    <x v="0"/>
    <s v="STORES"/>
  </r>
  <r>
    <x v="717"/>
    <d v="1996-11-18T00:00:00"/>
    <d v="2020-09-28T00:00:00"/>
    <n v="24"/>
    <m/>
    <s v="New Westminster"/>
    <s v="Produce"/>
    <s v="Produce Clerk"/>
    <n v="21"/>
    <s v="M"/>
    <s v="Male"/>
    <x v="2"/>
    <x v="0"/>
    <s v="STORES"/>
  </r>
  <r>
    <x v="718"/>
    <d v="2001-11-30T00:00:00"/>
    <d v="2020-03-20T00:00:00"/>
    <n v="19"/>
    <m/>
    <s v="Terrace"/>
    <s v="Produce"/>
    <s v="Produce Clerk"/>
    <n v="32"/>
    <s v="M"/>
    <s v="Male"/>
    <x v="2"/>
    <x v="0"/>
    <s v="STORES"/>
  </r>
  <r>
    <x v="719"/>
    <d v="2005-06-09T00:00:00"/>
    <d v="2020-03-30T00:00:00"/>
    <n v="15"/>
    <m/>
    <s v="Kamloops"/>
    <s v="Bakery"/>
    <s v="Baker"/>
    <n v="15"/>
    <s v="M"/>
    <s v="Male"/>
    <x v="2"/>
    <x v="0"/>
    <s v="STORES"/>
  </r>
  <r>
    <x v="720"/>
    <d v="2004-10-01T00:00:00"/>
    <d v="2020-01-03T00:00:00"/>
    <n v="16"/>
    <m/>
    <s v="Burnaby"/>
    <s v="Produce"/>
    <s v="Produce Clerk"/>
    <n v="5"/>
    <s v="F"/>
    <s v="Female"/>
    <x v="2"/>
    <x v="0"/>
    <s v="STORES"/>
  </r>
  <r>
    <x v="721"/>
    <d v="1993-09-23T00:00:00"/>
    <d v="2020-08-28T00:00:00"/>
    <n v="27"/>
    <m/>
    <s v="White Rock"/>
    <s v="Customer Service"/>
    <s v="Cashier"/>
    <n v="39"/>
    <s v="F"/>
    <s v="Female"/>
    <x v="2"/>
    <x v="0"/>
    <s v="STORES"/>
  </r>
  <r>
    <x v="722"/>
    <d v="2015-01-19T00:00:00"/>
    <d v="2020-08-22T00:00:00"/>
    <n v="5"/>
    <m/>
    <s v="Victoria"/>
    <s v="Produce"/>
    <s v="Produce Clerk"/>
    <n v="37"/>
    <s v="M"/>
    <s v="Male"/>
    <x v="2"/>
    <x v="0"/>
    <s v="STORES"/>
  </r>
  <r>
    <x v="723"/>
    <d v="1995-09-04T00:00:00"/>
    <d v="2020-10-21T00:00:00"/>
    <n v="25"/>
    <m/>
    <s v="Bella Bella"/>
    <s v="Customer Service"/>
    <s v="Cashier"/>
    <n v="3"/>
    <s v="M"/>
    <s v="Male"/>
    <x v="2"/>
    <x v="0"/>
    <s v="STORES"/>
  </r>
  <r>
    <x v="724"/>
    <d v="2007-11-06T00:00:00"/>
    <d v="2020-02-16T00:00:00"/>
    <n v="13"/>
    <m/>
    <s v="Abbotsford"/>
    <s v="Bakery"/>
    <s v="Baker"/>
    <n v="1"/>
    <s v="M"/>
    <s v="Male"/>
    <x v="2"/>
    <x v="0"/>
    <s v="STORES"/>
  </r>
  <r>
    <x v="725"/>
    <d v="2003-12-08T00:00:00"/>
    <d v="2020-09-25T00:00:00"/>
    <n v="17"/>
    <m/>
    <s v="Kelowna"/>
    <s v="Produce"/>
    <s v="Produce Clerk"/>
    <n v="16"/>
    <s v="F"/>
    <s v="Female"/>
    <x v="2"/>
    <x v="0"/>
    <s v="STORES"/>
  </r>
  <r>
    <x v="726"/>
    <d v="1996-06-05T00:00:00"/>
    <d v="2020-06-25T00:00:00"/>
    <n v="24"/>
    <m/>
    <s v="Kamloops"/>
    <s v="Bakery"/>
    <s v="Baker"/>
    <n v="15"/>
    <s v="M"/>
    <s v="Male"/>
    <x v="2"/>
    <x v="0"/>
    <s v="STORES"/>
  </r>
  <r>
    <x v="727"/>
    <d v="1999-05-10T00:00:00"/>
    <d v="2020-10-06T00:00:00"/>
    <n v="21"/>
    <m/>
    <s v="Victoria"/>
    <s v="Produce"/>
    <s v="Produce Clerk"/>
    <n v="37"/>
    <s v="M"/>
    <s v="Male"/>
    <x v="2"/>
    <x v="0"/>
    <s v="STORES"/>
  </r>
  <r>
    <x v="728"/>
    <d v="2005-01-30T00:00:00"/>
    <d v="2020-12-12T00:00:00"/>
    <n v="15"/>
    <m/>
    <s v="Vancouver"/>
    <s v="Meats"/>
    <s v="Meat Cutter"/>
    <n v="35"/>
    <s v="M"/>
    <s v="Male"/>
    <x v="2"/>
    <x v="0"/>
    <s v="STORES"/>
  </r>
  <r>
    <x v="729"/>
    <d v="1999-01-19T00:00:00"/>
    <d v="2020-04-02T00:00:00"/>
    <n v="21"/>
    <m/>
    <s v="Terrace"/>
    <s v="Produce"/>
    <s v="Produce Clerk"/>
    <n v="32"/>
    <s v="F"/>
    <s v="Female"/>
    <x v="2"/>
    <x v="0"/>
    <s v="STORES"/>
  </r>
  <r>
    <x v="730"/>
    <d v="1992-02-13T00:00:00"/>
    <d v="2020-11-29T00:00:00"/>
    <n v="28"/>
    <m/>
    <s v="Vancouver"/>
    <s v="Meats"/>
    <s v="Meat Cutter"/>
    <n v="35"/>
    <s v="M"/>
    <s v="Male"/>
    <x v="2"/>
    <x v="0"/>
    <s v="STORES"/>
  </r>
  <r>
    <x v="731"/>
    <d v="2012-02-09T00:00:00"/>
    <d v="2020-08-13T00:00:00"/>
    <n v="8"/>
    <m/>
    <s v="New Westminister"/>
    <s v="Produce"/>
    <s v="Produce Clerk"/>
    <n v="20"/>
    <s v="M"/>
    <s v="Male"/>
    <x v="2"/>
    <x v="0"/>
    <s v="STORES"/>
  </r>
  <r>
    <x v="732"/>
    <d v="2002-05-15T00:00:00"/>
    <d v="2020-05-15T00:00:00"/>
    <n v="18"/>
    <m/>
    <s v="Trail"/>
    <s v="Produce"/>
    <s v="Produce Clerk"/>
    <n v="33"/>
    <s v="M"/>
    <s v="Male"/>
    <x v="2"/>
    <x v="0"/>
    <s v="STORES"/>
  </r>
  <r>
    <x v="733"/>
    <d v="2000-10-18T00:00:00"/>
    <d v="2020-03-20T00:00:00"/>
    <n v="20"/>
    <m/>
    <s v="Nanaimo"/>
    <s v="Produce"/>
    <s v="Produce Clerk"/>
    <n v="18"/>
    <s v="M"/>
    <s v="Male"/>
    <x v="2"/>
    <x v="0"/>
    <s v="STORES"/>
  </r>
  <r>
    <x v="734"/>
    <d v="2009-01-29T00:00:00"/>
    <d v="2020-10-28T00:00:00"/>
    <n v="11"/>
    <m/>
    <s v="Chilliwack"/>
    <s v="Produce"/>
    <s v="Produce Clerk"/>
    <n v="6"/>
    <s v="F"/>
    <s v="Female"/>
    <x v="2"/>
    <x v="0"/>
    <s v="STORES"/>
  </r>
  <r>
    <x v="735"/>
    <d v="2005-03-18T00:00:00"/>
    <d v="2020-02-22T00:00:00"/>
    <n v="15"/>
    <m/>
    <s v="West Vancouver"/>
    <s v="Meats"/>
    <s v="Meat Cutter"/>
    <n v="38"/>
    <s v="M"/>
    <s v="Male"/>
    <x v="2"/>
    <x v="0"/>
    <s v="STORES"/>
  </r>
  <r>
    <x v="736"/>
    <d v="2003-03-28T00:00:00"/>
    <d v="2020-10-29T00:00:00"/>
    <n v="17"/>
    <m/>
    <s v="Williams Lake"/>
    <s v="Produce"/>
    <s v="Produce Clerk"/>
    <n v="40"/>
    <s v="F"/>
    <s v="Female"/>
    <x v="1"/>
    <x v="0"/>
    <s v="STORES"/>
  </r>
  <r>
    <x v="737"/>
    <d v="1997-03-12T00:00:00"/>
    <d v="2020-07-09T00:00:00"/>
    <n v="23"/>
    <m/>
    <s v="Port Coquitlam"/>
    <s v="Produce"/>
    <s v="Produce Clerk"/>
    <n v="25"/>
    <s v="M"/>
    <s v="Male"/>
    <x v="2"/>
    <x v="0"/>
    <s v="STORES"/>
  </r>
  <r>
    <x v="738"/>
    <d v="2000-08-22T00:00:00"/>
    <d v="2020-11-18T00:00:00"/>
    <n v="20"/>
    <m/>
    <s v="Nanaimo"/>
    <s v="Produce"/>
    <s v="Produce Clerk"/>
    <n v="18"/>
    <s v="F"/>
    <s v="Female"/>
    <x v="2"/>
    <x v="0"/>
    <s v="STORES"/>
  </r>
  <r>
    <x v="739"/>
    <d v="1992-10-09T00:00:00"/>
    <d v="2020-04-30T00:00:00"/>
    <n v="28"/>
    <m/>
    <s v="Vancouver"/>
    <s v="Meats"/>
    <s v="Meat Cutter"/>
    <n v="35"/>
    <s v="M"/>
    <s v="Male"/>
    <x v="2"/>
    <x v="0"/>
    <s v="STORES"/>
  </r>
  <r>
    <x v="740"/>
    <d v="1996-12-09T00:00:00"/>
    <d v="2020-02-10T00:00:00"/>
    <n v="24"/>
    <m/>
    <s v="Princeton"/>
    <s v="Dairy"/>
    <s v="Dairy Person"/>
    <n v="27"/>
    <s v="M"/>
    <s v="Male"/>
    <x v="2"/>
    <x v="0"/>
    <s v="STORES"/>
  </r>
  <r>
    <x v="741"/>
    <d v="1992-03-24T00:00:00"/>
    <d v="2020-07-17T00:00:00"/>
    <n v="28"/>
    <m/>
    <s v="White Rock"/>
    <s v="Meats"/>
    <s v="Meat Cutter"/>
    <n v="39"/>
    <s v="M"/>
    <s v="Male"/>
    <x v="2"/>
    <x v="0"/>
    <s v="STORES"/>
  </r>
  <r>
    <x v="742"/>
    <d v="1993-09-17T00:00:00"/>
    <d v="2020-06-13T00:00:00"/>
    <n v="27"/>
    <m/>
    <s v="New Westminster"/>
    <s v="Produce"/>
    <s v="Produce Clerk"/>
    <n v="21"/>
    <s v="F"/>
    <s v="Female"/>
    <x v="2"/>
    <x v="0"/>
    <s v="STORES"/>
  </r>
  <r>
    <x v="743"/>
    <d v="1993-01-02T00:00:00"/>
    <d v="2020-01-19T00:00:00"/>
    <n v="27"/>
    <m/>
    <s v="Quesnel"/>
    <s v="Meats"/>
    <s v="Meat Cutter"/>
    <n v="28"/>
    <s v="M"/>
    <s v="Male"/>
    <x v="2"/>
    <x v="0"/>
    <s v="STORES"/>
  </r>
  <r>
    <x v="744"/>
    <d v="2003-03-24T00:00:00"/>
    <d v="2020-04-02T00:00:00"/>
    <n v="17"/>
    <m/>
    <s v="West Vancouver"/>
    <s v="Meats"/>
    <s v="Meat Cutter"/>
    <n v="38"/>
    <s v="F"/>
    <s v="Female"/>
    <x v="2"/>
    <x v="0"/>
    <s v="STORES"/>
  </r>
  <r>
    <x v="745"/>
    <d v="1994-11-19T00:00:00"/>
    <d v="2020-08-16T00:00:00"/>
    <n v="26"/>
    <m/>
    <s v="Prince George"/>
    <s v="Produce"/>
    <s v="Produce Clerk"/>
    <n v="26"/>
    <s v="M"/>
    <s v="Male"/>
    <x v="2"/>
    <x v="0"/>
    <s v="STORES"/>
  </r>
  <r>
    <x v="746"/>
    <d v="2002-04-27T00:00:00"/>
    <d v="2020-07-04T00:00:00"/>
    <n v="18"/>
    <m/>
    <s v="Nanaimo"/>
    <s v="Produce"/>
    <s v="Produce Clerk"/>
    <n v="18"/>
    <s v="F"/>
    <s v="Female"/>
    <x v="2"/>
    <x v="0"/>
    <s v="STORES"/>
  </r>
  <r>
    <x v="747"/>
    <d v="1991-09-03T00:00:00"/>
    <d v="2020-12-30T00:00:00"/>
    <n v="29"/>
    <m/>
    <s v="Vancouver"/>
    <s v="Meats"/>
    <s v="Meat Cutter"/>
    <n v="35"/>
    <s v="M"/>
    <s v="Male"/>
    <x v="2"/>
    <x v="0"/>
    <s v="STORES"/>
  </r>
  <r>
    <x v="748"/>
    <d v="2004-07-09T00:00:00"/>
    <d v="2020-03-01T00:00:00"/>
    <n v="16"/>
    <m/>
    <s v="New Westminster"/>
    <s v="Produce"/>
    <s v="Produce Clerk"/>
    <n v="21"/>
    <s v="M"/>
    <s v="Male"/>
    <x v="2"/>
    <x v="0"/>
    <s v="STORES"/>
  </r>
  <r>
    <x v="749"/>
    <d v="1998-10-31T00:00:00"/>
    <d v="2020-09-03T00:00:00"/>
    <n v="22"/>
    <m/>
    <s v="Kamloops"/>
    <s v="Bakery"/>
    <s v="Baker"/>
    <n v="15"/>
    <s v="F"/>
    <s v="Female"/>
    <x v="2"/>
    <x v="0"/>
    <s v="STORES"/>
  </r>
  <r>
    <x v="750"/>
    <d v="2013-05-24T00:00:00"/>
    <d v="2020-09-13T00:00:00"/>
    <n v="7"/>
    <m/>
    <s v="Fort St John"/>
    <s v="Produce"/>
    <s v="Produce Clerk"/>
    <n v="12"/>
    <s v="F"/>
    <s v="Female"/>
    <x v="2"/>
    <x v="0"/>
    <s v="STORES"/>
  </r>
  <r>
    <x v="751"/>
    <d v="2006-01-21T00:00:00"/>
    <d v="2020-07-02T00:00:00"/>
    <n v="14"/>
    <m/>
    <s v="West Vancouver"/>
    <s v="Meats"/>
    <s v="Meat Cutter"/>
    <n v="38"/>
    <s v="M"/>
    <s v="Male"/>
    <x v="2"/>
    <x v="0"/>
    <s v="STORES"/>
  </r>
  <r>
    <x v="752"/>
    <d v="2002-12-05T00:00:00"/>
    <d v="2020-10-10T00:00:00"/>
    <n v="18"/>
    <m/>
    <s v="Vancouver"/>
    <s v="Meats"/>
    <s v="Meat Cutter"/>
    <n v="35"/>
    <s v="M"/>
    <s v="Male"/>
    <x v="2"/>
    <x v="0"/>
    <s v="STORES"/>
  </r>
  <r>
    <x v="753"/>
    <d v="2007-12-13T00:00:00"/>
    <d v="2020-04-21T00:00:00"/>
    <n v="13"/>
    <m/>
    <s v="North Vancouver"/>
    <s v="Produce"/>
    <s v="Produce Clerk"/>
    <n v="22"/>
    <s v="M"/>
    <s v="Male"/>
    <x v="1"/>
    <x v="0"/>
    <s v="STORES"/>
  </r>
  <r>
    <x v="754"/>
    <d v="1998-11-07T00:00:00"/>
    <d v="2020-10-04T00:00:00"/>
    <n v="22"/>
    <m/>
    <s v="Trail"/>
    <s v="Produce"/>
    <s v="Produce Clerk"/>
    <n v="33"/>
    <s v="F"/>
    <s v="Female"/>
    <x v="2"/>
    <x v="0"/>
    <s v="STORES"/>
  </r>
  <r>
    <x v="755"/>
    <d v="2014-10-27T00:00:00"/>
    <d v="2020-11-26T00:00:00"/>
    <n v="6"/>
    <m/>
    <s v="Kamloops"/>
    <s v="Bakery"/>
    <s v="Baker"/>
    <n v="15"/>
    <s v="F"/>
    <s v="Female"/>
    <x v="2"/>
    <x v="0"/>
    <s v="STORES"/>
  </r>
  <r>
    <x v="756"/>
    <d v="2000-07-02T00:00:00"/>
    <d v="2020-07-02T00:00:00"/>
    <n v="20"/>
    <m/>
    <s v="Vancouver"/>
    <s v="Meats"/>
    <s v="Meat Cutter"/>
    <n v="35"/>
    <s v="M"/>
    <s v="Male"/>
    <x v="2"/>
    <x v="0"/>
    <s v="STORES"/>
  </r>
  <r>
    <x v="757"/>
    <d v="2011-02-25T00:00:00"/>
    <d v="2020-09-15T00:00:00"/>
    <n v="9"/>
    <m/>
    <s v="New Westminster"/>
    <s v="Produce"/>
    <s v="Produce Clerk"/>
    <n v="21"/>
    <s v="M"/>
    <s v="Male"/>
    <x v="2"/>
    <x v="0"/>
    <s v="STORES"/>
  </r>
  <r>
    <x v="758"/>
    <d v="1992-10-27T00:00:00"/>
    <d v="2020-03-03T00:00:00"/>
    <n v="28"/>
    <m/>
    <s v="Kamloops"/>
    <s v="Bakery"/>
    <s v="Baker"/>
    <n v="15"/>
    <s v="M"/>
    <s v="Male"/>
    <x v="2"/>
    <x v="0"/>
    <s v="STORES"/>
  </r>
  <r>
    <x v="759"/>
    <d v="1995-10-28T00:00:00"/>
    <d v="2020-04-26T00:00:00"/>
    <n v="25"/>
    <m/>
    <s v="Chilliwack"/>
    <s v="Produce"/>
    <s v="Produce Clerk"/>
    <n v="6"/>
    <s v="F"/>
    <s v="Female"/>
    <x v="2"/>
    <x v="0"/>
    <s v="STORES"/>
  </r>
  <r>
    <x v="760"/>
    <d v="2003-11-09T00:00:00"/>
    <d v="2020-07-25T00:00:00"/>
    <n v="17"/>
    <m/>
    <s v="New Westminster"/>
    <s v="Produce"/>
    <s v="Produce Clerk"/>
    <n v="21"/>
    <s v="M"/>
    <s v="Male"/>
    <x v="2"/>
    <x v="0"/>
    <s v="STORES"/>
  </r>
  <r>
    <x v="761"/>
    <d v="2012-01-09T00:00:00"/>
    <d v="2020-07-14T00:00:00"/>
    <n v="8"/>
    <m/>
    <s v="West Vancouver"/>
    <s v="Meats"/>
    <s v="Meat Cutter"/>
    <n v="38"/>
    <s v="F"/>
    <s v="Female"/>
    <x v="2"/>
    <x v="0"/>
    <s v="STORES"/>
  </r>
  <r>
    <x v="762"/>
    <d v="2013-05-01T00:00:00"/>
    <d v="2020-12-10T00:00:00"/>
    <n v="7"/>
    <m/>
    <s v="Vancouver"/>
    <s v="Meats"/>
    <s v="Meat Cutter"/>
    <n v="35"/>
    <s v="F"/>
    <s v="Female"/>
    <x v="2"/>
    <x v="0"/>
    <s v="STORES"/>
  </r>
  <r>
    <x v="763"/>
    <d v="2012-10-31T00:00:00"/>
    <d v="2020-11-15T00:00:00"/>
    <n v="8"/>
    <m/>
    <s v="Vancouver"/>
    <s v="Meats"/>
    <s v="Meat Cutter"/>
    <n v="35"/>
    <s v="M"/>
    <s v="Male"/>
    <x v="2"/>
    <x v="0"/>
    <s v="STORES"/>
  </r>
  <r>
    <x v="764"/>
    <d v="1990-07-05T00:00:00"/>
    <d v="2020-04-30T00:00:00"/>
    <n v="30"/>
    <m/>
    <s v="Kamloops"/>
    <s v="Bakery"/>
    <s v="Baker"/>
    <n v="15"/>
    <s v="M"/>
    <s v="Male"/>
    <x v="2"/>
    <x v="0"/>
    <s v="STORES"/>
  </r>
  <r>
    <x v="765"/>
    <d v="1998-01-16T00:00:00"/>
    <d v="2020-02-18T00:00:00"/>
    <n v="22"/>
    <m/>
    <s v="Victoria"/>
    <s v="Produce"/>
    <s v="Produce Clerk"/>
    <n v="37"/>
    <s v="F"/>
    <s v="Female"/>
    <x v="2"/>
    <x v="0"/>
    <s v="STORES"/>
  </r>
  <r>
    <x v="766"/>
    <d v="2009-03-24T00:00:00"/>
    <d v="2020-03-03T00:00:00"/>
    <n v="11"/>
    <m/>
    <s v="Vernon"/>
    <s v="Produce"/>
    <s v="Produce Clerk"/>
    <n v="36"/>
    <s v="M"/>
    <s v="Male"/>
    <x v="2"/>
    <x v="0"/>
    <s v="STORES"/>
  </r>
  <r>
    <x v="767"/>
    <d v="2009-06-10T00:00:00"/>
    <d v="2020-05-31T00:00:00"/>
    <n v="11"/>
    <m/>
    <s v="Nanaimo"/>
    <s v="Produce"/>
    <s v="Produce Clerk"/>
    <n v="18"/>
    <s v="M"/>
    <s v="Male"/>
    <x v="2"/>
    <x v="0"/>
    <s v="STORES"/>
  </r>
  <r>
    <x v="768"/>
    <d v="2013-09-29T00:00:00"/>
    <d v="2020-01-14T00:00:00"/>
    <n v="7"/>
    <m/>
    <s v="Richmond"/>
    <s v="Produce"/>
    <s v="Produce Clerk"/>
    <n v="29"/>
    <s v="M"/>
    <s v="Male"/>
    <x v="2"/>
    <x v="0"/>
    <s v="STORES"/>
  </r>
  <r>
    <x v="769"/>
    <d v="2004-01-01T00:00:00"/>
    <d v="2020-03-01T00:00:00"/>
    <n v="16"/>
    <m/>
    <s v="Kamloops"/>
    <s v="Bakery"/>
    <s v="Baker"/>
    <n v="15"/>
    <s v="F"/>
    <s v="Female"/>
    <x v="2"/>
    <x v="0"/>
    <s v="STORES"/>
  </r>
  <r>
    <x v="770"/>
    <d v="1996-04-26T00:00:00"/>
    <d v="2020-11-16T00:00:00"/>
    <n v="24"/>
    <m/>
    <s v="Nanaimo"/>
    <s v="Produce"/>
    <s v="Produce Clerk"/>
    <n v="18"/>
    <s v="M"/>
    <s v="Male"/>
    <x v="2"/>
    <x v="0"/>
    <s v="STORES"/>
  </r>
  <r>
    <x v="771"/>
    <d v="2013-11-28T00:00:00"/>
    <d v="2020-09-16T00:00:00"/>
    <n v="7"/>
    <m/>
    <s v="Vancouver"/>
    <s v="Meats"/>
    <s v="Meat Cutter"/>
    <n v="35"/>
    <s v="F"/>
    <s v="Female"/>
    <x v="2"/>
    <x v="0"/>
    <s v="STORES"/>
  </r>
  <r>
    <x v="772"/>
    <d v="1995-05-01T00:00:00"/>
    <d v="2020-06-06T00:00:00"/>
    <n v="25"/>
    <m/>
    <s v="Langley"/>
    <s v="Produce"/>
    <s v="Produce Clerk"/>
    <n v="17"/>
    <s v="M"/>
    <s v="Male"/>
    <x v="2"/>
    <x v="0"/>
    <s v="STORES"/>
  </r>
  <r>
    <x v="773"/>
    <d v="2008-07-02T00:00:00"/>
    <d v="2020-12-24T00:00:00"/>
    <n v="12"/>
    <m/>
    <s v="Burnaby"/>
    <s v="Produce"/>
    <s v="Produce Clerk"/>
    <n v="5"/>
    <s v="M"/>
    <s v="Male"/>
    <x v="2"/>
    <x v="0"/>
    <s v="STORES"/>
  </r>
  <r>
    <x v="774"/>
    <d v="2014-02-07T00:00:00"/>
    <d v="2020-06-06T00:00:00"/>
    <n v="6"/>
    <m/>
    <s v="Prince George"/>
    <s v="Produce"/>
    <s v="Produce Clerk"/>
    <n v="26"/>
    <s v="M"/>
    <s v="Male"/>
    <x v="2"/>
    <x v="0"/>
    <s v="STORES"/>
  </r>
  <r>
    <x v="775"/>
    <d v="1998-01-23T00:00:00"/>
    <d v="2020-09-23T00:00:00"/>
    <n v="22"/>
    <m/>
    <s v="Victoria"/>
    <s v="Produce"/>
    <s v="Produce Clerk"/>
    <n v="37"/>
    <s v="F"/>
    <s v="Female"/>
    <x v="2"/>
    <x v="0"/>
    <s v="STORES"/>
  </r>
  <r>
    <x v="776"/>
    <d v="2002-06-25T00:00:00"/>
    <d v="2020-01-07T00:00:00"/>
    <n v="18"/>
    <m/>
    <s v="Squamish"/>
    <s v="Produce"/>
    <s v="Produce Clerk"/>
    <n v="30"/>
    <s v="M"/>
    <s v="Male"/>
    <x v="2"/>
    <x v="0"/>
    <s v="STORES"/>
  </r>
  <r>
    <x v="777"/>
    <d v="2004-07-19T00:00:00"/>
    <d v="2020-07-30T00:00:00"/>
    <n v="16"/>
    <m/>
    <s v="Vancouver"/>
    <s v="Meats"/>
    <s v="Meat Cutter"/>
    <n v="35"/>
    <s v="M"/>
    <s v="Male"/>
    <x v="2"/>
    <x v="0"/>
    <s v="STORES"/>
  </r>
  <r>
    <x v="778"/>
    <d v="2013-10-20T00:00:00"/>
    <d v="2020-10-15T00:00:00"/>
    <n v="7"/>
    <m/>
    <s v="Burnaby"/>
    <s v="Produce"/>
    <s v="Produce Clerk"/>
    <n v="5"/>
    <s v="M"/>
    <s v="Male"/>
    <x v="2"/>
    <x v="0"/>
    <s v="STORES"/>
  </r>
  <r>
    <x v="779"/>
    <d v="2003-01-10T00:00:00"/>
    <d v="2020-12-05T00:00:00"/>
    <n v="17"/>
    <m/>
    <s v="Vancouver"/>
    <s v="Meats"/>
    <s v="Meat Cutter"/>
    <n v="35"/>
    <s v="F"/>
    <s v="Female"/>
    <x v="2"/>
    <x v="0"/>
    <s v="STORES"/>
  </r>
  <r>
    <x v="780"/>
    <d v="1992-12-07T00:00:00"/>
    <d v="2020-01-13T00:00:00"/>
    <n v="28"/>
    <m/>
    <s v="Vancouver"/>
    <s v="Meats"/>
    <s v="Meat Cutter"/>
    <n v="35"/>
    <s v="F"/>
    <s v="Female"/>
    <x v="2"/>
    <x v="0"/>
    <s v="STORES"/>
  </r>
  <r>
    <x v="781"/>
    <d v="1994-06-08T00:00:00"/>
    <d v="2020-03-14T00:00:00"/>
    <n v="26"/>
    <m/>
    <s v="Victoria"/>
    <s v="Produce"/>
    <s v="Produce Clerk"/>
    <n v="37"/>
    <s v="M"/>
    <s v="Male"/>
    <x v="2"/>
    <x v="0"/>
    <s v="STORES"/>
  </r>
  <r>
    <x v="782"/>
    <d v="1995-04-02T00:00:00"/>
    <d v="2020-03-25T00:00:00"/>
    <n v="25"/>
    <m/>
    <s v="Vancouver"/>
    <s v="Meats"/>
    <s v="Meat Cutter"/>
    <n v="35"/>
    <s v="F"/>
    <s v="Female"/>
    <x v="2"/>
    <x v="0"/>
    <s v="STORES"/>
  </r>
  <r>
    <x v="783"/>
    <d v="1995-12-11T00:00:00"/>
    <d v="2020-01-08T00:00:00"/>
    <n v="25"/>
    <m/>
    <s v="White Rock"/>
    <s v="Meats"/>
    <s v="Meat Cutter"/>
    <n v="39"/>
    <s v="M"/>
    <s v="Male"/>
    <x v="2"/>
    <x v="0"/>
    <s v="STORES"/>
  </r>
  <r>
    <x v="784"/>
    <d v="2003-04-10T00:00:00"/>
    <d v="2020-06-26T00:00:00"/>
    <n v="17"/>
    <m/>
    <s v="Burnaby"/>
    <s v="Produce"/>
    <s v="Produce Clerk"/>
    <n v="5"/>
    <s v="F"/>
    <s v="Female"/>
    <x v="2"/>
    <x v="0"/>
    <s v="STORES"/>
  </r>
  <r>
    <x v="785"/>
    <d v="1999-01-21T00:00:00"/>
    <d v="2020-08-06T00:00:00"/>
    <n v="21"/>
    <m/>
    <s v="Chilliwack"/>
    <s v="Produce"/>
    <s v="Produce Clerk"/>
    <n v="6"/>
    <s v="M"/>
    <s v="Male"/>
    <x v="2"/>
    <x v="0"/>
    <s v="STORES"/>
  </r>
  <r>
    <x v="786"/>
    <d v="2001-06-10T00:00:00"/>
    <d v="2020-11-08T00:00:00"/>
    <n v="19"/>
    <m/>
    <s v="Vancouver"/>
    <s v="Meats"/>
    <s v="Meat Cutter"/>
    <n v="35"/>
    <s v="M"/>
    <s v="Male"/>
    <x v="2"/>
    <x v="0"/>
    <s v="STORES"/>
  </r>
  <r>
    <x v="787"/>
    <d v="1998-05-08T00:00:00"/>
    <d v="2020-01-04T00:00:00"/>
    <n v="22"/>
    <m/>
    <s v="Victoria"/>
    <s v="Produce"/>
    <s v="Produce Clerk"/>
    <n v="37"/>
    <s v="M"/>
    <s v="Male"/>
    <x v="2"/>
    <x v="0"/>
    <s v="STORES"/>
  </r>
  <r>
    <x v="788"/>
    <d v="2003-12-27T00:00:00"/>
    <d v="2020-01-14T00:00:00"/>
    <n v="17"/>
    <m/>
    <s v="Nanaimo"/>
    <s v="Produce"/>
    <s v="Produce Clerk"/>
    <n v="18"/>
    <s v="M"/>
    <s v="Male"/>
    <x v="2"/>
    <x v="0"/>
    <s v="STORES"/>
  </r>
  <r>
    <x v="789"/>
    <d v="1996-09-01T00:00:00"/>
    <d v="2020-09-21T00:00:00"/>
    <n v="24"/>
    <m/>
    <s v="White Rock"/>
    <s v="Meats"/>
    <s v="Meat Cutter"/>
    <n v="39"/>
    <s v="F"/>
    <s v="Female"/>
    <x v="2"/>
    <x v="0"/>
    <s v="STORES"/>
  </r>
  <r>
    <x v="790"/>
    <d v="2012-06-27T00:00:00"/>
    <d v="2020-03-08T00:00:00"/>
    <n v="8"/>
    <m/>
    <s v="Fort St John"/>
    <s v="Produce"/>
    <s v="Produce Clerk"/>
    <n v="12"/>
    <s v="M"/>
    <s v="Male"/>
    <x v="2"/>
    <x v="0"/>
    <s v="STORES"/>
  </r>
  <r>
    <x v="791"/>
    <d v="2012-01-13T00:00:00"/>
    <d v="2020-08-02T00:00:00"/>
    <n v="8"/>
    <m/>
    <s v="Victoria"/>
    <s v="Produce"/>
    <s v="Produce Clerk"/>
    <n v="37"/>
    <s v="M"/>
    <s v="Male"/>
    <x v="2"/>
    <x v="0"/>
    <s v="STORES"/>
  </r>
  <r>
    <x v="792"/>
    <d v="2008-08-19T00:00:00"/>
    <d v="2020-10-23T00:00:00"/>
    <n v="12"/>
    <m/>
    <s v="Cranbrook"/>
    <s v="Produce"/>
    <s v="Produce Clerk"/>
    <n v="8"/>
    <s v="F"/>
    <s v="Female"/>
    <x v="2"/>
    <x v="0"/>
    <s v="STORES"/>
  </r>
  <r>
    <x v="793"/>
    <d v="1992-03-12T00:00:00"/>
    <d v="2020-09-13T00:00:00"/>
    <n v="28"/>
    <m/>
    <s v="Nanaimo"/>
    <s v="Produce"/>
    <s v="Produce Clerk"/>
    <n v="18"/>
    <s v="M"/>
    <s v="Male"/>
    <x v="2"/>
    <x v="0"/>
    <s v="STORES"/>
  </r>
  <r>
    <x v="794"/>
    <d v="2004-07-01T00:00:00"/>
    <d v="2020-03-04T00:00:00"/>
    <n v="16"/>
    <m/>
    <s v="Vancouver"/>
    <s v="Meats"/>
    <s v="Meat Cutter"/>
    <n v="35"/>
    <s v="F"/>
    <s v="Female"/>
    <x v="2"/>
    <x v="0"/>
    <s v="STORES"/>
  </r>
  <r>
    <x v="795"/>
    <d v="1990-04-09T00:00:00"/>
    <d v="2020-05-31T00:00:00"/>
    <n v="30"/>
    <m/>
    <s v="Vancouver"/>
    <s v="Meats"/>
    <s v="Meat Cutter"/>
    <n v="35"/>
    <s v="M"/>
    <s v="Male"/>
    <x v="2"/>
    <x v="0"/>
    <s v="STORES"/>
  </r>
  <r>
    <x v="796"/>
    <d v="2015-12-06T00:00:00"/>
    <d v="2020-01-19T00:00:00"/>
    <n v="5"/>
    <m/>
    <s v="Kelowna"/>
    <s v="Produce"/>
    <s v="Produce Clerk"/>
    <n v="16"/>
    <s v="F"/>
    <s v="Female"/>
    <x v="2"/>
    <x v="0"/>
    <s v="STORES"/>
  </r>
  <r>
    <x v="797"/>
    <d v="2013-09-25T00:00:00"/>
    <d v="2020-03-16T00:00:00"/>
    <n v="7"/>
    <m/>
    <s v="Vancouver"/>
    <s v="Meats"/>
    <s v="Meat Cutter"/>
    <n v="35"/>
    <s v="M"/>
    <s v="Male"/>
    <x v="2"/>
    <x v="0"/>
    <s v="STORES"/>
  </r>
  <r>
    <x v="798"/>
    <d v="1997-02-24T00:00:00"/>
    <d v="2020-01-16T00:00:00"/>
    <n v="23"/>
    <m/>
    <s v="Langley"/>
    <s v="Produce"/>
    <s v="Produce Clerk"/>
    <n v="17"/>
    <s v="F"/>
    <s v="Female"/>
    <x v="2"/>
    <x v="0"/>
    <s v="STORES"/>
  </r>
  <r>
    <x v="799"/>
    <d v="2013-12-19T00:00:00"/>
    <d v="2020-07-26T00:00:00"/>
    <n v="7"/>
    <m/>
    <s v="Victoria"/>
    <s v="Produce"/>
    <s v="Produce Clerk"/>
    <n v="37"/>
    <s v="M"/>
    <s v="Male"/>
    <x v="2"/>
    <x v="0"/>
    <s v="STORES"/>
  </r>
  <r>
    <x v="800"/>
    <d v="2011-05-12T00:00:00"/>
    <d v="2020-03-21T00:00:00"/>
    <n v="9"/>
    <m/>
    <s v="Nanaimo"/>
    <s v="Produce"/>
    <s v="Produce Clerk"/>
    <n v="18"/>
    <s v="F"/>
    <s v="Female"/>
    <x v="2"/>
    <x v="0"/>
    <s v="STORES"/>
  </r>
  <r>
    <x v="801"/>
    <d v="1992-09-11T00:00:00"/>
    <d v="2020-08-06T00:00:00"/>
    <n v="28"/>
    <m/>
    <s v="West Vancouver"/>
    <s v="Produce"/>
    <s v="Produce Clerk"/>
    <n v="38"/>
    <s v="M"/>
    <s v="Male"/>
    <x v="2"/>
    <x v="0"/>
    <s v="STORES"/>
  </r>
  <r>
    <x v="802"/>
    <d v="2010-11-02T00:00:00"/>
    <d v="2020-11-23T00:00:00"/>
    <n v="10"/>
    <m/>
    <s v="Aldergrove"/>
    <s v="Produce"/>
    <s v="Produce Clerk"/>
    <n v="2"/>
    <s v="F"/>
    <s v="Female"/>
    <x v="2"/>
    <x v="0"/>
    <s v="STORES"/>
  </r>
  <r>
    <x v="803"/>
    <d v="2006-12-14T00:00:00"/>
    <d v="2020-05-08T00:00:00"/>
    <n v="14"/>
    <m/>
    <s v="Victoria"/>
    <s v="Produce"/>
    <s v="Produce Clerk"/>
    <n v="37"/>
    <s v="F"/>
    <s v="Female"/>
    <x v="2"/>
    <x v="0"/>
    <s v="STORES"/>
  </r>
  <r>
    <x v="804"/>
    <d v="1995-03-28T00:00:00"/>
    <d v="2020-12-17T00:00:00"/>
    <n v="25"/>
    <m/>
    <s v="Surrey"/>
    <s v="Produce"/>
    <s v="Produce Clerk"/>
    <n v="31"/>
    <s v="F"/>
    <s v="Female"/>
    <x v="2"/>
    <x v="0"/>
    <s v="STORES"/>
  </r>
  <r>
    <x v="805"/>
    <d v="2004-10-30T00:00:00"/>
    <d v="2020-05-28T00:00:00"/>
    <n v="16"/>
    <m/>
    <s v="Cranbrook"/>
    <s v="Produce"/>
    <s v="Produce Clerk"/>
    <n v="8"/>
    <s v="F"/>
    <s v="Female"/>
    <x v="2"/>
    <x v="0"/>
    <s v="STORES"/>
  </r>
  <r>
    <x v="806"/>
    <d v="2006-12-01T00:00:00"/>
    <d v="2020-02-29T00:00:00"/>
    <n v="14"/>
    <m/>
    <s v="Prince George"/>
    <s v="Produce"/>
    <s v="Produce Clerk"/>
    <n v="26"/>
    <s v="M"/>
    <s v="Male"/>
    <x v="2"/>
    <x v="0"/>
    <s v="STORES"/>
  </r>
  <r>
    <x v="807"/>
    <d v="2007-12-12T00:00:00"/>
    <d v="2020-11-21T00:00:00"/>
    <n v="13"/>
    <m/>
    <s v="Quesnel"/>
    <s v="Produce"/>
    <s v="Produce Clerk"/>
    <n v="28"/>
    <s v="F"/>
    <s v="Female"/>
    <x v="2"/>
    <x v="0"/>
    <s v="STORES"/>
  </r>
  <r>
    <x v="808"/>
    <d v="2012-10-06T00:00:00"/>
    <d v="2020-03-10T00:00:00"/>
    <n v="8"/>
    <m/>
    <s v="Langley"/>
    <s v="Produce"/>
    <s v="Produce Clerk"/>
    <n v="17"/>
    <s v="M"/>
    <s v="Male"/>
    <x v="2"/>
    <x v="0"/>
    <s v="STORES"/>
  </r>
  <r>
    <x v="809"/>
    <d v="2005-10-26T00:00:00"/>
    <d v="2020-08-22T00:00:00"/>
    <n v="15"/>
    <m/>
    <s v="Vancouver"/>
    <s v="Meats"/>
    <s v="Meat Cutter"/>
    <n v="35"/>
    <s v="F"/>
    <s v="Female"/>
    <x v="2"/>
    <x v="0"/>
    <s v="STORES"/>
  </r>
  <r>
    <x v="810"/>
    <d v="1992-04-06T00:00:00"/>
    <d v="2020-08-05T00:00:00"/>
    <n v="28"/>
    <m/>
    <s v="Burnaby"/>
    <s v="Produce"/>
    <s v="Produce Clerk"/>
    <n v="5"/>
    <s v="M"/>
    <s v="Male"/>
    <x v="2"/>
    <x v="0"/>
    <s v="STORES"/>
  </r>
  <r>
    <x v="811"/>
    <d v="2001-05-06T00:00:00"/>
    <d v="2020-12-20T00:00:00"/>
    <n v="19"/>
    <m/>
    <s v="Nelson"/>
    <s v="Bakery"/>
    <s v="Baker"/>
    <n v="19"/>
    <s v="F"/>
    <s v="Female"/>
    <x v="2"/>
    <x v="0"/>
    <s v="STORES"/>
  </r>
  <r>
    <x v="812"/>
    <d v="2009-01-11T00:00:00"/>
    <d v="2020-01-01T00:00:00"/>
    <n v="11"/>
    <m/>
    <s v="Kamloops"/>
    <s v="Bakery"/>
    <s v="Baker"/>
    <n v="15"/>
    <s v="F"/>
    <s v="Female"/>
    <x v="2"/>
    <x v="0"/>
    <s v="STORES"/>
  </r>
  <r>
    <x v="813"/>
    <d v="2002-02-06T00:00:00"/>
    <d v="2020-02-14T00:00:00"/>
    <n v="18"/>
    <m/>
    <s v="Vancouver"/>
    <s v="Meats"/>
    <s v="Meat Cutter"/>
    <n v="35"/>
    <s v="F"/>
    <s v="Female"/>
    <x v="2"/>
    <x v="0"/>
    <s v="STORES"/>
  </r>
  <r>
    <x v="814"/>
    <d v="2014-10-04T00:00:00"/>
    <d v="2020-07-23T00:00:00"/>
    <n v="6"/>
    <m/>
    <s v="Victoria"/>
    <s v="Produce"/>
    <s v="Produce Clerk"/>
    <n v="37"/>
    <s v="F"/>
    <s v="Female"/>
    <x v="2"/>
    <x v="0"/>
    <s v="STORES"/>
  </r>
  <r>
    <x v="815"/>
    <d v="1997-09-03T00:00:00"/>
    <d v="2020-04-29T00:00:00"/>
    <n v="23"/>
    <m/>
    <s v="Nanaimo"/>
    <s v="Produce"/>
    <s v="Produce Clerk"/>
    <n v="18"/>
    <s v="M"/>
    <s v="Male"/>
    <x v="2"/>
    <x v="0"/>
    <s v="STORES"/>
  </r>
  <r>
    <x v="816"/>
    <d v="1993-12-26T00:00:00"/>
    <d v="2020-05-04T00:00:00"/>
    <n v="27"/>
    <m/>
    <s v="Prince George"/>
    <s v="Produce"/>
    <s v="Produce Clerk"/>
    <n v="26"/>
    <s v="F"/>
    <s v="Female"/>
    <x v="2"/>
    <x v="0"/>
    <s v="STORES"/>
  </r>
  <r>
    <x v="817"/>
    <d v="2006-08-03T00:00:00"/>
    <d v="2020-11-19T00:00:00"/>
    <n v="14"/>
    <m/>
    <s v="Kamloops"/>
    <s v="Bakery"/>
    <s v="Baker"/>
    <n v="15"/>
    <s v="F"/>
    <s v="Female"/>
    <x v="2"/>
    <x v="0"/>
    <s v="STORES"/>
  </r>
  <r>
    <x v="818"/>
    <d v="1993-08-18T00:00:00"/>
    <d v="2020-07-24T00:00:00"/>
    <n v="27"/>
    <m/>
    <s v="Vancouver"/>
    <s v="Meats"/>
    <s v="Meat Cutter"/>
    <n v="35"/>
    <s v="F"/>
    <s v="Female"/>
    <x v="2"/>
    <x v="0"/>
    <s v="STORES"/>
  </r>
  <r>
    <x v="819"/>
    <d v="1999-06-08T00:00:00"/>
    <d v="2020-02-06T00:00:00"/>
    <n v="21"/>
    <m/>
    <s v="Nanaimo"/>
    <s v="Produce"/>
    <s v="Produce Clerk"/>
    <n v="18"/>
    <s v="M"/>
    <s v="Male"/>
    <x v="2"/>
    <x v="0"/>
    <s v="STORES"/>
  </r>
  <r>
    <x v="820"/>
    <d v="1999-10-15T00:00:00"/>
    <d v="2020-11-13T00:00:00"/>
    <n v="21"/>
    <m/>
    <s v="Vancouver"/>
    <s v="Meats"/>
    <s v="Meat Cutter"/>
    <n v="35"/>
    <s v="M"/>
    <s v="Male"/>
    <x v="2"/>
    <x v="0"/>
    <s v="STORES"/>
  </r>
  <r>
    <x v="821"/>
    <d v="2004-11-23T00:00:00"/>
    <d v="2020-10-09T00:00:00"/>
    <n v="16"/>
    <m/>
    <s v="Burnaby"/>
    <s v="Produce"/>
    <s v="Produce Clerk"/>
    <n v="5"/>
    <s v="M"/>
    <s v="Male"/>
    <x v="2"/>
    <x v="0"/>
    <s v="STORES"/>
  </r>
  <r>
    <x v="822"/>
    <d v="2015-08-31T00:00:00"/>
    <d v="2020-12-20T00:00:00"/>
    <n v="5"/>
    <m/>
    <s v="Pitt Meadows"/>
    <s v="Dairy"/>
    <s v="Dairy Person"/>
    <n v="24"/>
    <s v="M"/>
    <s v="Male"/>
    <x v="2"/>
    <x v="0"/>
    <s v="STORES"/>
  </r>
  <r>
    <x v="823"/>
    <d v="1998-01-25T00:00:00"/>
    <d v="2020-03-25T00:00:00"/>
    <n v="22"/>
    <m/>
    <s v="New Westminister"/>
    <s v="Produce"/>
    <s v="Produce Clerk"/>
    <n v="20"/>
    <s v="F"/>
    <s v="Female"/>
    <x v="2"/>
    <x v="0"/>
    <s v="STORES"/>
  </r>
  <r>
    <x v="824"/>
    <d v="1990-10-10T00:00:00"/>
    <d v="2020-07-20T00:00:00"/>
    <n v="30"/>
    <m/>
    <s v="Williams Lake"/>
    <s v="Produce"/>
    <s v="Produce Clerk"/>
    <n v="40"/>
    <s v="F"/>
    <s v="Female"/>
    <x v="2"/>
    <x v="0"/>
    <s v="STORES"/>
  </r>
  <r>
    <x v="825"/>
    <d v="2015-10-24T00:00:00"/>
    <d v="2020-11-25T00:00:00"/>
    <n v="5"/>
    <m/>
    <s v="Quesnel"/>
    <s v="Produce"/>
    <s v="Produce Clerk"/>
    <n v="28"/>
    <s v="F"/>
    <s v="Female"/>
    <x v="2"/>
    <x v="0"/>
    <s v="STORES"/>
  </r>
  <r>
    <x v="826"/>
    <d v="1997-05-13T00:00:00"/>
    <d v="2020-12-27T00:00:00"/>
    <n v="23"/>
    <m/>
    <s v="Trail"/>
    <s v="Produce"/>
    <s v="Produce Clerk"/>
    <n v="33"/>
    <s v="M"/>
    <s v="Male"/>
    <x v="2"/>
    <x v="0"/>
    <s v="STORES"/>
  </r>
  <r>
    <x v="827"/>
    <d v="1990-01-09T00:00:00"/>
    <d v="2020-06-04T00:00:00"/>
    <n v="30"/>
    <m/>
    <s v="Prince George"/>
    <s v="Produce"/>
    <s v="Produce Clerk"/>
    <n v="26"/>
    <s v="M"/>
    <s v="Male"/>
    <x v="2"/>
    <x v="0"/>
    <s v="STORES"/>
  </r>
  <r>
    <x v="828"/>
    <d v="2007-02-03T00:00:00"/>
    <d v="2020-02-09T00:00:00"/>
    <n v="13"/>
    <m/>
    <s v="Terrace"/>
    <s v="Produce"/>
    <s v="Produce Clerk"/>
    <n v="32"/>
    <s v="M"/>
    <s v="Male"/>
    <x v="2"/>
    <x v="0"/>
    <s v="STORES"/>
  </r>
  <r>
    <x v="829"/>
    <d v="2004-07-25T00:00:00"/>
    <d v="2020-05-05T00:00:00"/>
    <n v="16"/>
    <m/>
    <s v="Terrace"/>
    <s v="Produce"/>
    <s v="Produce Clerk"/>
    <n v="32"/>
    <s v="F"/>
    <s v="Female"/>
    <x v="2"/>
    <x v="0"/>
    <s v="STORES"/>
  </r>
  <r>
    <x v="830"/>
    <d v="1993-11-15T00:00:00"/>
    <d v="2020-11-10T00:00:00"/>
    <n v="27"/>
    <m/>
    <s v="Fort Nelson"/>
    <s v="Produce"/>
    <s v="Produce Clerk"/>
    <n v="11"/>
    <s v="F"/>
    <s v="Female"/>
    <x v="2"/>
    <x v="0"/>
    <s v="STORES"/>
  </r>
  <r>
    <x v="831"/>
    <d v="2004-03-03T00:00:00"/>
    <d v="2020-06-16T00:00:00"/>
    <n v="16"/>
    <m/>
    <s v="Prince George"/>
    <s v="Produce"/>
    <s v="Produce Clerk"/>
    <n v="26"/>
    <s v="F"/>
    <s v="Female"/>
    <x v="2"/>
    <x v="0"/>
    <s v="STORES"/>
  </r>
  <r>
    <x v="832"/>
    <d v="1994-04-15T00:00:00"/>
    <d v="2020-12-23T00:00:00"/>
    <n v="26"/>
    <m/>
    <s v="New Westminster"/>
    <s v="Produce"/>
    <s v="Produce Clerk"/>
    <n v="21"/>
    <s v="M"/>
    <s v="Male"/>
    <x v="2"/>
    <x v="0"/>
    <s v="STORES"/>
  </r>
  <r>
    <x v="833"/>
    <d v="1996-04-02T00:00:00"/>
    <d v="2020-06-14T00:00:00"/>
    <n v="24"/>
    <m/>
    <s v="Burnaby"/>
    <s v="Produce"/>
    <s v="Produce Clerk"/>
    <n v="5"/>
    <s v="F"/>
    <s v="Female"/>
    <x v="2"/>
    <x v="0"/>
    <s v="STORES"/>
  </r>
  <r>
    <x v="834"/>
    <d v="2012-01-12T00:00:00"/>
    <d v="2020-09-29T00:00:00"/>
    <n v="8"/>
    <m/>
    <s v="Chilliwack"/>
    <s v="Produce"/>
    <s v="Produce Clerk"/>
    <n v="6"/>
    <s v="F"/>
    <s v="Female"/>
    <x v="2"/>
    <x v="0"/>
    <s v="STORES"/>
  </r>
  <r>
    <x v="835"/>
    <d v="1997-01-18T00:00:00"/>
    <d v="2020-12-14T00:00:00"/>
    <n v="23"/>
    <m/>
    <s v="Trail"/>
    <s v="Produce"/>
    <s v="Produce Clerk"/>
    <n v="33"/>
    <s v="F"/>
    <s v="Female"/>
    <x v="0"/>
    <x v="0"/>
    <s v="STORES"/>
  </r>
  <r>
    <x v="836"/>
    <d v="2009-10-06T00:00:00"/>
    <d v="2020-11-25T00:00:00"/>
    <n v="11"/>
    <m/>
    <s v="Quesnel"/>
    <s v="Produce"/>
    <s v="Produce Clerk"/>
    <n v="28"/>
    <s v="F"/>
    <s v="Female"/>
    <x v="0"/>
    <x v="0"/>
    <s v="STORES"/>
  </r>
  <r>
    <x v="837"/>
    <d v="1994-12-13T00:00:00"/>
    <d v="2020-01-24T00:00:00"/>
    <n v="26"/>
    <m/>
    <s v="Victoria"/>
    <s v="Produce"/>
    <s v="Produce Clerk"/>
    <n v="37"/>
    <s v="M"/>
    <s v="Male"/>
    <x v="2"/>
    <x v="0"/>
    <s v="STORES"/>
  </r>
  <r>
    <x v="838"/>
    <d v="2011-02-18T00:00:00"/>
    <d v="2020-11-08T00:00:00"/>
    <n v="9"/>
    <m/>
    <s v="Terrace"/>
    <s v="Produce"/>
    <s v="Produce Clerk"/>
    <n v="32"/>
    <s v="M"/>
    <s v="Male"/>
    <x v="2"/>
    <x v="0"/>
    <s v="STORES"/>
  </r>
  <r>
    <x v="839"/>
    <d v="2014-08-20T00:00:00"/>
    <d v="2020-02-21T00:00:00"/>
    <n v="6"/>
    <m/>
    <s v="Victoria"/>
    <s v="Produce"/>
    <s v="Produce Clerk"/>
    <n v="37"/>
    <s v="M"/>
    <s v="Male"/>
    <x v="2"/>
    <x v="0"/>
    <s v="STORES"/>
  </r>
  <r>
    <x v="840"/>
    <d v="1990-01-15T00:00:00"/>
    <d v="2020-12-03T00:00:00"/>
    <n v="30"/>
    <m/>
    <s v="Dawson Creek"/>
    <s v="Customer Service"/>
    <s v="Cashier"/>
    <n v="9"/>
    <s v="F"/>
    <s v="Female"/>
    <x v="2"/>
    <x v="0"/>
    <s v="STORES"/>
  </r>
  <r>
    <x v="841"/>
    <d v="2001-08-21T00:00:00"/>
    <d v="2020-04-04T00:00:00"/>
    <n v="19"/>
    <m/>
    <s v="Victoria"/>
    <s v="Produce"/>
    <s v="Produce Clerk"/>
    <n v="37"/>
    <s v="M"/>
    <s v="Male"/>
    <x v="2"/>
    <x v="0"/>
    <s v="STORES"/>
  </r>
  <r>
    <x v="842"/>
    <d v="2009-12-08T00:00:00"/>
    <d v="2020-07-01T00:00:00"/>
    <n v="11"/>
    <m/>
    <s v="Victoria"/>
    <s v="Produce"/>
    <s v="Produce Clerk"/>
    <n v="37"/>
    <s v="F"/>
    <s v="Female"/>
    <x v="2"/>
    <x v="0"/>
    <s v="STORES"/>
  </r>
  <r>
    <x v="843"/>
    <d v="1995-05-24T00:00:00"/>
    <d v="2020-11-12T00:00:00"/>
    <n v="25"/>
    <m/>
    <s v="Victoria"/>
    <s v="Customer Service"/>
    <s v="Cashier"/>
    <n v="46"/>
    <s v="M"/>
    <s v="Male"/>
    <x v="1"/>
    <x v="0"/>
    <s v="STORES"/>
  </r>
  <r>
    <x v="844"/>
    <d v="2011-08-03T00:00:00"/>
    <d v="2020-08-23T00:00:00"/>
    <n v="9"/>
    <m/>
    <s v="New Westminster"/>
    <s v="Produce"/>
    <s v="Produce Clerk"/>
    <n v="21"/>
    <s v="F"/>
    <s v="Female"/>
    <x v="2"/>
    <x v="0"/>
    <s v="STORES"/>
  </r>
  <r>
    <x v="845"/>
    <d v="1992-07-09T00:00:00"/>
    <d v="2020-02-03T00:00:00"/>
    <n v="28"/>
    <m/>
    <s v="Vancouver"/>
    <s v="Meats"/>
    <s v="Meat Cutter"/>
    <n v="35"/>
    <s v="M"/>
    <s v="Male"/>
    <x v="2"/>
    <x v="0"/>
    <s v="STORES"/>
  </r>
  <r>
    <x v="846"/>
    <d v="2004-02-20T00:00:00"/>
    <d v="2020-01-12T00:00:00"/>
    <n v="16"/>
    <m/>
    <s v="Vancouver"/>
    <s v="Meats"/>
    <s v="Meat Cutter"/>
    <n v="35"/>
    <s v="F"/>
    <s v="Female"/>
    <x v="2"/>
    <x v="0"/>
    <s v="STORES"/>
  </r>
  <r>
    <x v="847"/>
    <d v="1990-06-23T00:00:00"/>
    <d v="2020-01-23T00:00:00"/>
    <n v="30"/>
    <m/>
    <s v="Nanaimo"/>
    <s v="Produce"/>
    <s v="Produce Clerk"/>
    <n v="18"/>
    <s v="M"/>
    <s v="Male"/>
    <x v="2"/>
    <x v="0"/>
    <s v="STORES"/>
  </r>
  <r>
    <x v="848"/>
    <d v="2005-09-05T00:00:00"/>
    <d v="2020-11-08T00:00:00"/>
    <n v="15"/>
    <m/>
    <s v="Richmond"/>
    <s v="Produce"/>
    <s v="Produce Clerk"/>
    <n v="29"/>
    <s v="M"/>
    <s v="Male"/>
    <x v="2"/>
    <x v="0"/>
    <s v="STORES"/>
  </r>
  <r>
    <x v="849"/>
    <d v="1999-09-15T00:00:00"/>
    <d v="2020-06-29T00:00:00"/>
    <n v="21"/>
    <m/>
    <s v="Vancouver"/>
    <s v="Meats"/>
    <s v="Meat Cutter"/>
    <n v="35"/>
    <s v="F"/>
    <s v="Female"/>
    <x v="2"/>
    <x v="0"/>
    <s v="STORES"/>
  </r>
  <r>
    <x v="850"/>
    <d v="2005-07-16T00:00:00"/>
    <d v="2020-09-03T00:00:00"/>
    <n v="15"/>
    <m/>
    <s v="Haney"/>
    <s v="Processed Foods"/>
    <s v="Shelf Stocker"/>
    <n v="14"/>
    <s v="M"/>
    <s v="Male"/>
    <x v="2"/>
    <x v="0"/>
    <s v="STORES"/>
  </r>
  <r>
    <x v="851"/>
    <d v="2000-12-16T00:00:00"/>
    <d v="2020-02-09T00:00:00"/>
    <n v="20"/>
    <m/>
    <s v="Vancouver"/>
    <s v="Meats"/>
    <s v="Meat Cutter"/>
    <n v="35"/>
    <s v="F"/>
    <s v="Female"/>
    <x v="2"/>
    <x v="0"/>
    <s v="STORES"/>
  </r>
  <r>
    <x v="852"/>
    <d v="1992-12-31T00:00:00"/>
    <d v="2020-10-20T00:00:00"/>
    <n v="28"/>
    <m/>
    <s v="Prince George"/>
    <s v="Produce"/>
    <s v="Produce Clerk"/>
    <n v="26"/>
    <s v="M"/>
    <s v="Male"/>
    <x v="2"/>
    <x v="0"/>
    <s v="STORES"/>
  </r>
  <r>
    <x v="853"/>
    <d v="2003-11-04T00:00:00"/>
    <d v="2020-08-11T00:00:00"/>
    <n v="17"/>
    <m/>
    <s v="Vernon"/>
    <s v="Produce"/>
    <s v="Produce Clerk"/>
    <n v="36"/>
    <s v="M"/>
    <s v="Male"/>
    <x v="2"/>
    <x v="0"/>
    <s v="STORES"/>
  </r>
  <r>
    <x v="854"/>
    <d v="2005-02-10T00:00:00"/>
    <d v="2020-09-21T00:00:00"/>
    <n v="15"/>
    <m/>
    <s v="Vancouver"/>
    <s v="Meats"/>
    <s v="Meat Cutter"/>
    <n v="35"/>
    <s v="F"/>
    <s v="Female"/>
    <x v="2"/>
    <x v="0"/>
    <s v="STORES"/>
  </r>
  <r>
    <x v="855"/>
    <d v="1998-11-30T00:00:00"/>
    <d v="2020-04-27T00:00:00"/>
    <n v="22"/>
    <m/>
    <s v="Vancouver"/>
    <s v="Meats"/>
    <s v="Meat Cutter"/>
    <n v="35"/>
    <s v="F"/>
    <s v="Female"/>
    <x v="2"/>
    <x v="0"/>
    <s v="STORES"/>
  </r>
  <r>
    <x v="856"/>
    <d v="2010-04-03T00:00:00"/>
    <d v="2020-02-17T00:00:00"/>
    <n v="10"/>
    <m/>
    <s v="New Westminster"/>
    <s v="Produce"/>
    <s v="Produce Clerk"/>
    <n v="21"/>
    <s v="M"/>
    <s v="Male"/>
    <x v="2"/>
    <x v="0"/>
    <s v="STORES"/>
  </r>
  <r>
    <x v="857"/>
    <d v="2010-10-17T00:00:00"/>
    <d v="2020-10-25T00:00:00"/>
    <n v="10"/>
    <m/>
    <s v="Prince George"/>
    <s v="Produce"/>
    <s v="Produce Clerk"/>
    <n v="26"/>
    <s v="M"/>
    <s v="Male"/>
    <x v="2"/>
    <x v="0"/>
    <s v="STORES"/>
  </r>
  <r>
    <x v="858"/>
    <d v="1990-12-03T00:00:00"/>
    <d v="2020-05-31T00:00:00"/>
    <n v="30"/>
    <m/>
    <s v="Abbotsford"/>
    <s v="Bakery"/>
    <s v="Baker"/>
    <n v="1"/>
    <s v="F"/>
    <s v="Female"/>
    <x v="2"/>
    <x v="0"/>
    <s v="STORES"/>
  </r>
  <r>
    <x v="859"/>
    <d v="1992-03-19T00:00:00"/>
    <d v="2020-05-18T00:00:00"/>
    <n v="28"/>
    <m/>
    <s v="New Westminster"/>
    <s v="Produce"/>
    <s v="Produce Clerk"/>
    <n v="21"/>
    <s v="M"/>
    <s v="Male"/>
    <x v="2"/>
    <x v="0"/>
    <s v="STORES"/>
  </r>
  <r>
    <x v="860"/>
    <d v="2012-01-26T00:00:00"/>
    <d v="2020-09-10T00:00:00"/>
    <n v="8"/>
    <m/>
    <s v="Grand Forks"/>
    <s v="Processed Foods"/>
    <s v="Processed Foods Manager"/>
    <n v="13"/>
    <s v="F"/>
    <s v="Female"/>
    <x v="2"/>
    <x v="0"/>
    <s v="STORES"/>
  </r>
  <r>
    <x v="861"/>
    <d v="1995-12-22T00:00:00"/>
    <d v="2020-01-07T00:00:00"/>
    <n v="25"/>
    <m/>
    <s v="Vancouver"/>
    <s v="Processed Foods"/>
    <s v="Shelf Stocker"/>
    <n v="42"/>
    <s v="F"/>
    <s v="Female"/>
    <x v="1"/>
    <x v="0"/>
    <s v="STORES"/>
  </r>
  <r>
    <x v="862"/>
    <d v="2002-05-20T00:00:00"/>
    <d v="2020-03-25T00:00:00"/>
    <n v="18"/>
    <m/>
    <s v="Kamloops"/>
    <s v="Bakery"/>
    <s v="Baker"/>
    <n v="15"/>
    <s v="M"/>
    <s v="Male"/>
    <x v="2"/>
    <x v="0"/>
    <s v="STORES"/>
  </r>
  <r>
    <x v="863"/>
    <d v="1999-11-14T00:00:00"/>
    <d v="2020-03-12T00:00:00"/>
    <n v="21"/>
    <m/>
    <s v="New Westminister"/>
    <s v="Produce"/>
    <s v="Produce Clerk"/>
    <n v="20"/>
    <s v="F"/>
    <s v="Female"/>
    <x v="2"/>
    <x v="0"/>
    <s v="STORES"/>
  </r>
  <r>
    <x v="864"/>
    <d v="1998-08-14T00:00:00"/>
    <d v="2020-06-09T00:00:00"/>
    <n v="22"/>
    <m/>
    <s v="Langley"/>
    <s v="Produce"/>
    <s v="Produce Clerk"/>
    <n v="17"/>
    <s v="M"/>
    <s v="Male"/>
    <x v="2"/>
    <x v="0"/>
    <s v="STORES"/>
  </r>
  <r>
    <x v="865"/>
    <d v="2015-10-29T00:00:00"/>
    <d v="2020-11-10T00:00:00"/>
    <n v="5"/>
    <m/>
    <s v="Vancouver"/>
    <s v="Meats"/>
    <s v="Meat Cutter"/>
    <n v="35"/>
    <s v="F"/>
    <s v="Female"/>
    <x v="2"/>
    <x v="0"/>
    <s v="STORES"/>
  </r>
  <r>
    <x v="866"/>
    <d v="2002-01-15T00:00:00"/>
    <d v="2020-09-07T00:00:00"/>
    <n v="18"/>
    <m/>
    <s v="Nanaimo"/>
    <s v="Produce"/>
    <s v="Produce Clerk"/>
    <n v="18"/>
    <s v="M"/>
    <s v="Male"/>
    <x v="2"/>
    <x v="0"/>
    <s v="STORES"/>
  </r>
  <r>
    <x v="867"/>
    <d v="1991-07-25T00:00:00"/>
    <d v="2020-01-31T00:00:00"/>
    <n v="29"/>
    <m/>
    <s v="Vancouver"/>
    <s v="Meats"/>
    <s v="Meat Cutter"/>
    <n v="35"/>
    <s v="M"/>
    <s v="Male"/>
    <x v="2"/>
    <x v="0"/>
    <s v="STORES"/>
  </r>
  <r>
    <x v="868"/>
    <d v="2005-12-15T00:00:00"/>
    <d v="2020-07-23T00:00:00"/>
    <n v="15"/>
    <m/>
    <s v="Fort Nelson"/>
    <s v="Bakery"/>
    <s v="Baker"/>
    <n v="11"/>
    <s v="F"/>
    <s v="Female"/>
    <x v="2"/>
    <x v="0"/>
    <s v="STORES"/>
  </r>
  <r>
    <x v="869"/>
    <d v="2015-08-23T00:00:00"/>
    <d v="2020-03-25T00:00:00"/>
    <n v="5"/>
    <m/>
    <s v="Burnaby"/>
    <s v="Produce"/>
    <s v="Produce Clerk"/>
    <n v="5"/>
    <s v="F"/>
    <s v="Female"/>
    <x v="2"/>
    <x v="0"/>
    <s v="STORES"/>
  </r>
  <r>
    <x v="870"/>
    <d v="2013-02-20T00:00:00"/>
    <d v="2020-12-18T00:00:00"/>
    <n v="7"/>
    <m/>
    <s v="Victoria"/>
    <s v="Produce"/>
    <s v="Produce Clerk"/>
    <n v="37"/>
    <s v="M"/>
    <s v="Male"/>
    <x v="2"/>
    <x v="0"/>
    <s v="STORES"/>
  </r>
  <r>
    <x v="871"/>
    <d v="1991-08-24T00:00:00"/>
    <d v="2020-02-01T00:00:00"/>
    <n v="29"/>
    <m/>
    <s v="Surrey"/>
    <s v="Produce"/>
    <s v="Produce Clerk"/>
    <n v="31"/>
    <s v="M"/>
    <s v="Male"/>
    <x v="2"/>
    <x v="0"/>
    <s v="STORES"/>
  </r>
  <r>
    <x v="872"/>
    <d v="2007-04-26T00:00:00"/>
    <d v="2020-07-08T00:00:00"/>
    <n v="13"/>
    <m/>
    <s v="Cranbrook"/>
    <s v="Produce"/>
    <s v="Produce Clerk"/>
    <n v="8"/>
    <s v="F"/>
    <s v="Female"/>
    <x v="1"/>
    <x v="0"/>
    <s v="STORES"/>
  </r>
  <r>
    <x v="873"/>
    <d v="2011-07-19T00:00:00"/>
    <d v="2020-07-10T00:00:00"/>
    <n v="9"/>
    <m/>
    <s v="Kelowna"/>
    <s v="Bakery"/>
    <s v="Baker"/>
    <n v="16"/>
    <s v="F"/>
    <s v="Female"/>
    <x v="1"/>
    <x v="0"/>
    <s v="STORES"/>
  </r>
  <r>
    <x v="874"/>
    <d v="2006-10-06T00:00:00"/>
    <d v="2020-08-12T00:00:00"/>
    <n v="14"/>
    <m/>
    <s v="Vancouver"/>
    <s v="Meats"/>
    <s v="Meat Cutter"/>
    <n v="35"/>
    <s v="M"/>
    <s v="Male"/>
    <x v="2"/>
    <x v="0"/>
    <s v="STORES"/>
  </r>
  <r>
    <x v="875"/>
    <d v="1994-10-08T00:00:00"/>
    <d v="2020-07-16T00:00:00"/>
    <n v="26"/>
    <m/>
    <s v="Terrace"/>
    <s v="Produce"/>
    <s v="Produce Clerk"/>
    <n v="32"/>
    <s v="F"/>
    <s v="Female"/>
    <x v="2"/>
    <x v="0"/>
    <s v="STORES"/>
  </r>
  <r>
    <x v="876"/>
    <d v="1998-02-15T00:00:00"/>
    <d v="2020-03-25T00:00:00"/>
    <n v="22"/>
    <m/>
    <s v="New Westminister"/>
    <s v="Produce"/>
    <s v="Produce Clerk"/>
    <n v="20"/>
    <s v="M"/>
    <s v="Male"/>
    <x v="2"/>
    <x v="0"/>
    <s v="STORES"/>
  </r>
  <r>
    <x v="877"/>
    <d v="2013-11-23T00:00:00"/>
    <d v="2020-06-22T00:00:00"/>
    <n v="7"/>
    <m/>
    <s v="Vancouver"/>
    <s v="Meats"/>
    <s v="Meat Cutter"/>
    <n v="35"/>
    <s v="F"/>
    <s v="Female"/>
    <x v="2"/>
    <x v="0"/>
    <s v="STORES"/>
  </r>
  <r>
    <x v="878"/>
    <d v="1998-08-17T00:00:00"/>
    <d v="2020-06-05T00:00:00"/>
    <n v="22"/>
    <m/>
    <s v="Vancouver"/>
    <s v="Meats"/>
    <s v="Meat Cutter"/>
    <n v="35"/>
    <s v="M"/>
    <s v="Male"/>
    <x v="2"/>
    <x v="0"/>
    <s v="STORES"/>
  </r>
  <r>
    <x v="879"/>
    <d v="1990-08-14T00:00:00"/>
    <d v="2020-06-18T00:00:00"/>
    <n v="30"/>
    <m/>
    <s v="Langley"/>
    <s v="Produce"/>
    <s v="Produce Clerk"/>
    <n v="17"/>
    <s v="M"/>
    <s v="Male"/>
    <x v="2"/>
    <x v="0"/>
    <s v="STORES"/>
  </r>
  <r>
    <x v="880"/>
    <d v="1994-11-17T00:00:00"/>
    <d v="2020-02-21T00:00:00"/>
    <n v="26"/>
    <m/>
    <s v="Fort St John"/>
    <s v="Bakery"/>
    <s v="Baker"/>
    <n v="12"/>
    <s v="F"/>
    <s v="Female"/>
    <x v="2"/>
    <x v="0"/>
    <s v="STORES"/>
  </r>
  <r>
    <x v="881"/>
    <d v="2014-10-01T00:00:00"/>
    <d v="2020-07-30T00:00:00"/>
    <n v="6"/>
    <m/>
    <s v="Vancouver"/>
    <s v="Meats"/>
    <s v="Meat Cutter"/>
    <n v="35"/>
    <s v="M"/>
    <s v="Male"/>
    <x v="2"/>
    <x v="0"/>
    <s v="STORES"/>
  </r>
  <r>
    <x v="882"/>
    <d v="2010-01-29T00:00:00"/>
    <d v="2020-04-20T00:00:00"/>
    <n v="10"/>
    <m/>
    <s v="Port Coquitlam"/>
    <s v="Dairy"/>
    <s v="Dairy Person"/>
    <n v="25"/>
    <s v="F"/>
    <s v="Female"/>
    <x v="1"/>
    <x v="0"/>
    <s v="STORES"/>
  </r>
  <r>
    <x v="883"/>
    <d v="2002-11-20T00:00:00"/>
    <d v="2020-04-21T00:00:00"/>
    <n v="18"/>
    <m/>
    <s v="Chilliwack"/>
    <s v="Produce"/>
    <s v="Produce Clerk"/>
    <n v="6"/>
    <s v="M"/>
    <s v="Male"/>
    <x v="2"/>
    <x v="0"/>
    <s v="STORES"/>
  </r>
  <r>
    <x v="884"/>
    <d v="1995-03-30T00:00:00"/>
    <d v="2020-06-23T00:00:00"/>
    <n v="25"/>
    <m/>
    <s v="Victoria"/>
    <s v="Produce"/>
    <s v="Produce Clerk"/>
    <n v="37"/>
    <s v="M"/>
    <s v="Male"/>
    <x v="2"/>
    <x v="0"/>
    <s v="STORES"/>
  </r>
  <r>
    <x v="885"/>
    <d v="1990-02-21T00:00:00"/>
    <d v="2020-06-01T00:00:00"/>
    <n v="30"/>
    <m/>
    <s v="West Vancouver"/>
    <s v="Produce"/>
    <s v="Produce Clerk"/>
    <n v="38"/>
    <s v="M"/>
    <s v="Male"/>
    <x v="2"/>
    <x v="0"/>
    <s v="STORES"/>
  </r>
  <r>
    <x v="886"/>
    <d v="2002-03-31T00:00:00"/>
    <d v="2020-07-20T00:00:00"/>
    <n v="18"/>
    <m/>
    <s v="Fort Nelson"/>
    <s v="Meats"/>
    <s v="Meat Cutter"/>
    <n v="11"/>
    <s v="F"/>
    <s v="Female"/>
    <x v="2"/>
    <x v="0"/>
    <s v="STORES"/>
  </r>
  <r>
    <x v="887"/>
    <d v="2015-07-19T00:00:00"/>
    <d v="2020-11-28T00:00:00"/>
    <n v="5"/>
    <m/>
    <s v="Vancouver"/>
    <s v="Meats"/>
    <s v="Meat Cutter"/>
    <n v="35"/>
    <s v="F"/>
    <s v="Female"/>
    <x v="2"/>
    <x v="0"/>
    <s v="STORES"/>
  </r>
  <r>
    <x v="888"/>
    <d v="2004-05-26T00:00:00"/>
    <d v="2020-09-30T00:00:00"/>
    <n v="16"/>
    <m/>
    <s v="Victoria"/>
    <s v="Produce"/>
    <s v="Produce Clerk"/>
    <n v="37"/>
    <s v="M"/>
    <s v="Male"/>
    <x v="2"/>
    <x v="0"/>
    <s v="STORES"/>
  </r>
  <r>
    <x v="889"/>
    <d v="2000-12-07T00:00:00"/>
    <d v="2020-11-09T00:00:00"/>
    <n v="20"/>
    <m/>
    <s v="Victoria"/>
    <s v="Produce"/>
    <s v="Produce Clerk"/>
    <n v="37"/>
    <s v="F"/>
    <s v="Female"/>
    <x v="2"/>
    <x v="0"/>
    <s v="STORES"/>
  </r>
  <r>
    <x v="890"/>
    <d v="2008-07-22T00:00:00"/>
    <d v="2020-07-25T00:00:00"/>
    <n v="12"/>
    <m/>
    <s v="Victoria"/>
    <s v="Produce"/>
    <s v="Produce Clerk"/>
    <n v="37"/>
    <s v="F"/>
    <s v="Female"/>
    <x v="2"/>
    <x v="0"/>
    <s v="STORES"/>
  </r>
  <r>
    <x v="891"/>
    <d v="1996-06-11T00:00:00"/>
    <d v="2020-08-01T00:00:00"/>
    <n v="24"/>
    <m/>
    <s v="Vancouver"/>
    <s v="Meats"/>
    <s v="Meat Cutter"/>
    <n v="35"/>
    <s v="F"/>
    <s v="Female"/>
    <x v="2"/>
    <x v="0"/>
    <s v="STORES"/>
  </r>
  <r>
    <x v="892"/>
    <d v="2001-11-26T00:00:00"/>
    <d v="2020-09-17T00:00:00"/>
    <n v="19"/>
    <m/>
    <s v="Prince George"/>
    <s v="Produce"/>
    <s v="Produce Clerk"/>
    <n v="26"/>
    <s v="F"/>
    <s v="Female"/>
    <x v="2"/>
    <x v="0"/>
    <s v="STORES"/>
  </r>
  <r>
    <x v="893"/>
    <d v="2012-11-01T00:00:00"/>
    <d v="2020-11-21T00:00:00"/>
    <n v="8"/>
    <m/>
    <s v="Quesnel"/>
    <s v="Produce"/>
    <s v="Produce Clerk"/>
    <n v="28"/>
    <s v="M"/>
    <s v="Male"/>
    <x v="2"/>
    <x v="0"/>
    <s v="STORES"/>
  </r>
  <r>
    <x v="894"/>
    <d v="1991-07-10T00:00:00"/>
    <d v="2020-06-25T00:00:00"/>
    <n v="29"/>
    <m/>
    <s v="New Westminster"/>
    <s v="Bakery"/>
    <s v="Baker"/>
    <n v="21"/>
    <s v="M"/>
    <s v="Male"/>
    <x v="1"/>
    <x v="0"/>
    <s v="STORES"/>
  </r>
  <r>
    <x v="895"/>
    <d v="2010-12-11T00:00:00"/>
    <d v="2020-05-28T00:00:00"/>
    <n v="10"/>
    <m/>
    <s v="Fort Nelson"/>
    <s v="Meats"/>
    <s v="Meat Cutter"/>
    <n v="11"/>
    <s v="F"/>
    <s v="Female"/>
    <x v="2"/>
    <x v="0"/>
    <s v="STORES"/>
  </r>
  <r>
    <x v="896"/>
    <d v="1990-12-18T00:00:00"/>
    <d v="2020-10-21T00:00:00"/>
    <n v="30"/>
    <m/>
    <s v="Surrey"/>
    <s v="Produce"/>
    <s v="Produce Clerk"/>
    <n v="31"/>
    <s v="M"/>
    <s v="Male"/>
    <x v="2"/>
    <x v="0"/>
    <s v="STORES"/>
  </r>
  <r>
    <x v="897"/>
    <d v="1995-08-30T00:00:00"/>
    <d v="2020-08-12T00:00:00"/>
    <n v="25"/>
    <m/>
    <s v="Surrey"/>
    <s v="Produce"/>
    <s v="Produce Clerk"/>
    <n v="31"/>
    <s v="M"/>
    <s v="Male"/>
    <x v="2"/>
    <x v="0"/>
    <s v="STORES"/>
  </r>
  <r>
    <x v="898"/>
    <d v="2003-05-02T00:00:00"/>
    <d v="2020-06-14T00:00:00"/>
    <n v="17"/>
    <m/>
    <s v="Fort Nelson"/>
    <s v="Produce"/>
    <s v="Produce Clerk"/>
    <n v="11"/>
    <s v="M"/>
    <s v="Male"/>
    <x v="1"/>
    <x v="0"/>
    <s v="STORES"/>
  </r>
  <r>
    <x v="899"/>
    <d v="1996-11-12T00:00:00"/>
    <d v="2020-08-01T00:00:00"/>
    <n v="24"/>
    <m/>
    <s v="Haney"/>
    <s v="Meats"/>
    <s v="Meat Cutter"/>
    <n v="14"/>
    <s v="F"/>
    <s v="Female"/>
    <x v="2"/>
    <x v="0"/>
    <s v="STORES"/>
  </r>
  <r>
    <x v="900"/>
    <d v="2014-04-13T00:00:00"/>
    <d v="2020-03-08T00:00:00"/>
    <n v="6"/>
    <m/>
    <s v="Fort Nelson"/>
    <s v="Bakery"/>
    <s v="Baker"/>
    <n v="11"/>
    <s v="M"/>
    <s v="Male"/>
    <x v="2"/>
    <x v="0"/>
    <s v="STORES"/>
  </r>
  <r>
    <x v="901"/>
    <d v="2011-11-01T00:00:00"/>
    <d v="2020-09-06T00:00:00"/>
    <n v="9"/>
    <m/>
    <s v="Port Coquitlam"/>
    <s v="Produce"/>
    <s v="Produce Clerk"/>
    <n v="25"/>
    <s v="M"/>
    <s v="Male"/>
    <x v="2"/>
    <x v="0"/>
    <s v="STORES"/>
  </r>
  <r>
    <x v="902"/>
    <d v="2000-10-29T00:00:00"/>
    <d v="2020-12-21T00:00:00"/>
    <n v="20"/>
    <m/>
    <s v="Vancouver"/>
    <s v="Meats"/>
    <s v="Meat Cutter"/>
    <n v="35"/>
    <s v="M"/>
    <s v="Male"/>
    <x v="2"/>
    <x v="0"/>
    <s v="STORES"/>
  </r>
  <r>
    <x v="903"/>
    <d v="1994-08-21T00:00:00"/>
    <d v="2020-06-26T00:00:00"/>
    <n v="26"/>
    <m/>
    <s v="New Westminster"/>
    <s v="Produce"/>
    <s v="Produce Clerk"/>
    <n v="21"/>
    <s v="M"/>
    <s v="Male"/>
    <x v="2"/>
    <x v="0"/>
    <s v="STORES"/>
  </r>
  <r>
    <x v="904"/>
    <d v="2015-02-07T00:00:00"/>
    <d v="2020-05-25T00:00:00"/>
    <n v="5"/>
    <m/>
    <s v="Victoria"/>
    <s v="Produce"/>
    <s v="Produce Clerk"/>
    <n v="37"/>
    <s v="M"/>
    <s v="Male"/>
    <x v="2"/>
    <x v="0"/>
    <s v="STORES"/>
  </r>
  <r>
    <x v="905"/>
    <d v="2012-05-31T00:00:00"/>
    <d v="2020-01-31T00:00:00"/>
    <n v="8"/>
    <m/>
    <s v="Vancouver"/>
    <s v="Meats"/>
    <s v="Meat Cutter"/>
    <n v="35"/>
    <s v="F"/>
    <s v="Female"/>
    <x v="2"/>
    <x v="0"/>
    <s v="STORES"/>
  </r>
  <r>
    <x v="906"/>
    <d v="1990-12-27T00:00:00"/>
    <d v="2020-07-17T00:00:00"/>
    <n v="30"/>
    <m/>
    <s v="Kamloops"/>
    <s v="Bakery"/>
    <s v="Baker"/>
    <n v="15"/>
    <s v="F"/>
    <s v="Female"/>
    <x v="2"/>
    <x v="0"/>
    <s v="STORES"/>
  </r>
  <r>
    <x v="907"/>
    <d v="1997-10-11T00:00:00"/>
    <d v="2020-09-13T00:00:00"/>
    <n v="23"/>
    <m/>
    <s v="New Westminister"/>
    <s v="Meats"/>
    <s v="Meat Cutter"/>
    <n v="20"/>
    <s v="M"/>
    <s v="Male"/>
    <x v="2"/>
    <x v="0"/>
    <s v="STORES"/>
  </r>
  <r>
    <x v="908"/>
    <d v="2000-03-09T00:00:00"/>
    <d v="2020-02-09T00:00:00"/>
    <n v="20"/>
    <m/>
    <s v="Dawson Creek"/>
    <s v="Customer Service"/>
    <s v="Cashier"/>
    <n v="9"/>
    <s v="M"/>
    <s v="Male"/>
    <x v="2"/>
    <x v="0"/>
    <s v="STORES"/>
  </r>
  <r>
    <x v="909"/>
    <d v="2000-09-19T00:00:00"/>
    <d v="2020-10-26T00:00:00"/>
    <n v="20"/>
    <m/>
    <s v="Victoria"/>
    <s v="Produce"/>
    <s v="Produce Clerk"/>
    <n v="37"/>
    <s v="M"/>
    <s v="Male"/>
    <x v="2"/>
    <x v="0"/>
    <s v="STORES"/>
  </r>
  <r>
    <x v="910"/>
    <d v="2000-09-07T00:00:00"/>
    <d v="2020-12-19T00:00:00"/>
    <n v="20"/>
    <m/>
    <s v="Vancouver"/>
    <s v="Meats"/>
    <s v="Meat Cutter"/>
    <n v="35"/>
    <s v="F"/>
    <s v="Female"/>
    <x v="2"/>
    <x v="0"/>
    <s v="STORES"/>
  </r>
  <r>
    <x v="911"/>
    <d v="2010-12-01T00:00:00"/>
    <d v="2020-12-04T00:00:00"/>
    <n v="10"/>
    <m/>
    <s v="Vancouver"/>
    <s v="Meats"/>
    <s v="Meat Cutter"/>
    <n v="35"/>
    <s v="M"/>
    <s v="Male"/>
    <x v="2"/>
    <x v="0"/>
    <s v="STORES"/>
  </r>
  <r>
    <x v="912"/>
    <d v="2005-02-18T00:00:00"/>
    <d v="2020-07-04T00:00:00"/>
    <n v="15"/>
    <m/>
    <s v="Victoria"/>
    <s v="Produce"/>
    <s v="Produce Clerk"/>
    <n v="37"/>
    <s v="F"/>
    <s v="Female"/>
    <x v="2"/>
    <x v="0"/>
    <s v="STORES"/>
  </r>
  <r>
    <x v="913"/>
    <d v="2002-06-19T00:00:00"/>
    <d v="2020-06-18T00:00:00"/>
    <n v="18"/>
    <m/>
    <s v="Vancouver"/>
    <s v="Meats"/>
    <s v="Meat Cutter"/>
    <n v="35"/>
    <s v="F"/>
    <s v="Female"/>
    <x v="2"/>
    <x v="0"/>
    <s v="STORES"/>
  </r>
  <r>
    <x v="914"/>
    <d v="1994-10-20T00:00:00"/>
    <d v="2020-07-24T00:00:00"/>
    <n v="26"/>
    <m/>
    <s v="Terrace"/>
    <s v="Produce"/>
    <s v="Produce Clerk"/>
    <n v="32"/>
    <s v="M"/>
    <s v="Male"/>
    <x v="2"/>
    <x v="0"/>
    <s v="STORES"/>
  </r>
  <r>
    <x v="915"/>
    <d v="1992-06-03T00:00:00"/>
    <d v="2020-08-31T00:00:00"/>
    <n v="28"/>
    <m/>
    <s v="Kelowna"/>
    <s v="Produce"/>
    <s v="Produce Clerk"/>
    <n v="16"/>
    <s v="F"/>
    <s v="Female"/>
    <x v="2"/>
    <x v="0"/>
    <s v="STORES"/>
  </r>
  <r>
    <x v="916"/>
    <d v="2002-08-01T00:00:00"/>
    <d v="2020-05-11T00:00:00"/>
    <n v="18"/>
    <m/>
    <s v="Victoria"/>
    <s v="Produce"/>
    <s v="Produce Clerk"/>
    <n v="37"/>
    <s v="F"/>
    <s v="Female"/>
    <x v="2"/>
    <x v="0"/>
    <s v="STORES"/>
  </r>
  <r>
    <x v="917"/>
    <d v="2000-10-29T00:00:00"/>
    <d v="2020-01-27T00:00:00"/>
    <n v="20"/>
    <m/>
    <s v="Victoria"/>
    <s v="Produce"/>
    <s v="Produce Clerk"/>
    <n v="37"/>
    <s v="M"/>
    <s v="Male"/>
    <x v="2"/>
    <x v="0"/>
    <s v="STORES"/>
  </r>
  <r>
    <x v="918"/>
    <d v="2005-12-08T00:00:00"/>
    <d v="2020-05-15T00:00:00"/>
    <n v="15"/>
    <m/>
    <s v="Port Coquitlam"/>
    <s v="Produce"/>
    <s v="Produce Clerk"/>
    <n v="25"/>
    <s v="M"/>
    <s v="Male"/>
    <x v="2"/>
    <x v="0"/>
    <s v="STORES"/>
  </r>
  <r>
    <x v="919"/>
    <d v="2000-11-20T00:00:00"/>
    <d v="2020-02-19T00:00:00"/>
    <n v="20"/>
    <m/>
    <s v="Victoria"/>
    <s v="Produce"/>
    <s v="Produce Clerk"/>
    <n v="37"/>
    <s v="M"/>
    <s v="Male"/>
    <x v="2"/>
    <x v="0"/>
    <s v="STORES"/>
  </r>
  <r>
    <x v="920"/>
    <d v="2001-06-07T00:00:00"/>
    <d v="2020-01-19T00:00:00"/>
    <n v="19"/>
    <m/>
    <s v="Langley"/>
    <s v="Produce"/>
    <s v="Produce Clerk"/>
    <n v="17"/>
    <s v="M"/>
    <s v="Male"/>
    <x v="2"/>
    <x v="0"/>
    <s v="STORES"/>
  </r>
  <r>
    <x v="921"/>
    <d v="2005-09-16T00:00:00"/>
    <d v="2020-03-31T00:00:00"/>
    <n v="15"/>
    <m/>
    <s v="Cranbrook"/>
    <s v="Produce"/>
    <s v="Produce Clerk"/>
    <n v="8"/>
    <s v="M"/>
    <s v="Male"/>
    <x v="2"/>
    <x v="0"/>
    <s v="STORES"/>
  </r>
  <r>
    <x v="922"/>
    <d v="2008-08-23T00:00:00"/>
    <d v="2020-04-06T00:00:00"/>
    <n v="12"/>
    <m/>
    <s v="Vancouver"/>
    <s v="Meats"/>
    <s v="Meat Cutter"/>
    <n v="35"/>
    <s v="M"/>
    <s v="Male"/>
    <x v="2"/>
    <x v="0"/>
    <s v="STORES"/>
  </r>
  <r>
    <x v="923"/>
    <d v="2010-12-26T00:00:00"/>
    <d v="2020-03-01T00:00:00"/>
    <n v="10"/>
    <m/>
    <s v="Chilliwack"/>
    <s v="Bakery"/>
    <s v="Baker"/>
    <n v="6"/>
    <s v="F"/>
    <s v="Female"/>
    <x v="2"/>
    <x v="0"/>
    <s v="STORES"/>
  </r>
  <r>
    <x v="924"/>
    <d v="2011-11-11T00:00:00"/>
    <d v="2020-07-14T00:00:00"/>
    <n v="9"/>
    <m/>
    <s v="Terrace"/>
    <s v="Produce"/>
    <s v="Produce Clerk"/>
    <n v="32"/>
    <s v="F"/>
    <s v="Female"/>
    <x v="2"/>
    <x v="0"/>
    <s v="STORES"/>
  </r>
  <r>
    <x v="925"/>
    <d v="2005-02-18T00:00:00"/>
    <d v="2020-08-30T00:00:00"/>
    <n v="15"/>
    <m/>
    <s v="Richmond"/>
    <s v="Produce"/>
    <s v="Produce Clerk"/>
    <n v="29"/>
    <s v="F"/>
    <s v="Female"/>
    <x v="2"/>
    <x v="0"/>
    <s v="STORES"/>
  </r>
  <r>
    <x v="926"/>
    <d v="2009-04-15T00:00:00"/>
    <d v="2020-07-13T00:00:00"/>
    <n v="11"/>
    <m/>
    <s v="Kelowna"/>
    <s v="Bakery"/>
    <s v="Baker"/>
    <n v="16"/>
    <s v="F"/>
    <s v="Female"/>
    <x v="2"/>
    <x v="0"/>
    <s v="STORES"/>
  </r>
  <r>
    <x v="927"/>
    <d v="1993-02-01T00:00:00"/>
    <d v="2020-04-06T00:00:00"/>
    <n v="27"/>
    <m/>
    <s v="Kelowna"/>
    <s v="Bakery"/>
    <s v="Baker"/>
    <n v="16"/>
    <s v="F"/>
    <s v="Female"/>
    <x v="2"/>
    <x v="0"/>
    <s v="STORES"/>
  </r>
  <r>
    <x v="928"/>
    <d v="1990-05-18T00:00:00"/>
    <d v="2020-04-12T00:00:00"/>
    <n v="30"/>
    <m/>
    <s v="Victoria"/>
    <s v="Produce"/>
    <s v="Produce Clerk"/>
    <n v="37"/>
    <s v="F"/>
    <s v="Female"/>
    <x v="2"/>
    <x v="0"/>
    <s v="STORES"/>
  </r>
  <r>
    <x v="929"/>
    <d v="2011-03-24T00:00:00"/>
    <d v="2020-08-19T00:00:00"/>
    <n v="9"/>
    <m/>
    <s v="Trail"/>
    <s v="Produce"/>
    <s v="Produce Clerk"/>
    <n v="33"/>
    <s v="M"/>
    <s v="Male"/>
    <x v="2"/>
    <x v="0"/>
    <s v="STORES"/>
  </r>
  <r>
    <x v="930"/>
    <d v="2002-08-30T00:00:00"/>
    <d v="2020-10-09T00:00:00"/>
    <n v="18"/>
    <m/>
    <s v="Vancouver"/>
    <s v="Meats"/>
    <s v="Meat Cutter"/>
    <n v="35"/>
    <s v="M"/>
    <s v="Male"/>
    <x v="2"/>
    <x v="0"/>
    <s v="STORES"/>
  </r>
  <r>
    <x v="931"/>
    <d v="1998-01-20T00:00:00"/>
    <d v="2020-02-21T00:00:00"/>
    <n v="22"/>
    <m/>
    <s v="Vancouver"/>
    <s v="Meats"/>
    <s v="Meat Cutter"/>
    <n v="35"/>
    <s v="M"/>
    <s v="Male"/>
    <x v="2"/>
    <x v="0"/>
    <s v="STORES"/>
  </r>
  <r>
    <x v="932"/>
    <d v="1994-06-23T00:00:00"/>
    <d v="2020-08-13T00:00:00"/>
    <n v="26"/>
    <m/>
    <s v="Vancouver"/>
    <s v="Meats"/>
    <s v="Meat Cutter"/>
    <n v="35"/>
    <s v="F"/>
    <s v="Female"/>
    <x v="2"/>
    <x v="0"/>
    <s v="STORES"/>
  </r>
  <r>
    <x v="933"/>
    <d v="1994-08-15T00:00:00"/>
    <d v="2020-06-21T00:00:00"/>
    <n v="26"/>
    <m/>
    <s v="New Westminster"/>
    <s v="Produce"/>
    <s v="Produce Clerk"/>
    <n v="21"/>
    <s v="M"/>
    <s v="Male"/>
    <x v="2"/>
    <x v="0"/>
    <s v="STORES"/>
  </r>
  <r>
    <x v="934"/>
    <d v="1995-05-06T00:00:00"/>
    <d v="2020-10-18T00:00:00"/>
    <n v="25"/>
    <m/>
    <s v="Vancouver"/>
    <s v="Meats"/>
    <s v="Meat Cutter"/>
    <n v="35"/>
    <s v="F"/>
    <s v="Female"/>
    <x v="2"/>
    <x v="0"/>
    <s v="STORES"/>
  </r>
  <r>
    <x v="935"/>
    <d v="2013-01-10T00:00:00"/>
    <d v="2020-08-19T00:00:00"/>
    <n v="7"/>
    <m/>
    <s v="Chilliwack"/>
    <s v="Bakery"/>
    <s v="Baker"/>
    <n v="6"/>
    <s v="F"/>
    <s v="Female"/>
    <x v="2"/>
    <x v="0"/>
    <s v="STORES"/>
  </r>
  <r>
    <x v="936"/>
    <d v="2004-04-14T00:00:00"/>
    <d v="2020-02-19T00:00:00"/>
    <n v="16"/>
    <m/>
    <s v="Prince George"/>
    <s v="Produce"/>
    <s v="Produce Clerk"/>
    <n v="26"/>
    <s v="M"/>
    <s v="Male"/>
    <x v="2"/>
    <x v="0"/>
    <s v="STORES"/>
  </r>
  <r>
    <x v="937"/>
    <d v="1996-02-08T00:00:00"/>
    <d v="2020-11-26T00:00:00"/>
    <n v="24"/>
    <m/>
    <s v="Vancouver"/>
    <s v="Meats"/>
    <s v="Meat Cutter"/>
    <n v="35"/>
    <s v="M"/>
    <s v="Male"/>
    <x v="2"/>
    <x v="0"/>
    <s v="STORES"/>
  </r>
  <r>
    <x v="938"/>
    <d v="2003-10-25T00:00:00"/>
    <d v="2020-10-31T00:00:00"/>
    <n v="17"/>
    <m/>
    <s v="Vancouver"/>
    <s v="Meats"/>
    <s v="Meat Cutter"/>
    <n v="35"/>
    <s v="F"/>
    <s v="Female"/>
    <x v="2"/>
    <x v="0"/>
    <s v="STORES"/>
  </r>
  <r>
    <x v="939"/>
    <d v="2012-12-04T00:00:00"/>
    <d v="2020-07-22T00:00:00"/>
    <n v="8"/>
    <m/>
    <s v="Vancouver"/>
    <s v="Meats"/>
    <s v="Meat Cutter"/>
    <n v="35"/>
    <s v="F"/>
    <s v="Female"/>
    <x v="2"/>
    <x v="0"/>
    <s v="STORES"/>
  </r>
  <r>
    <x v="940"/>
    <d v="2014-04-30T00:00:00"/>
    <d v="2020-12-20T00:00:00"/>
    <n v="6"/>
    <m/>
    <s v="Squamish"/>
    <s v="Produce"/>
    <s v="Produce Clerk"/>
    <n v="30"/>
    <s v="M"/>
    <s v="Male"/>
    <x v="1"/>
    <x v="0"/>
    <s v="STORES"/>
  </r>
  <r>
    <x v="941"/>
    <d v="2012-12-08T00:00:00"/>
    <d v="2020-10-25T00:00:00"/>
    <n v="8"/>
    <m/>
    <s v="Burnaby"/>
    <s v="Produce"/>
    <s v="Produce Clerk"/>
    <n v="5"/>
    <s v="F"/>
    <s v="Female"/>
    <x v="2"/>
    <x v="0"/>
    <s v="STORES"/>
  </r>
  <r>
    <x v="942"/>
    <d v="1992-01-02T00:00:00"/>
    <d v="2020-08-04T00:00:00"/>
    <n v="28"/>
    <m/>
    <s v="New Westminster"/>
    <s v="Produce"/>
    <s v="Produce Clerk"/>
    <n v="21"/>
    <s v="M"/>
    <s v="Male"/>
    <x v="2"/>
    <x v="0"/>
    <s v="STORES"/>
  </r>
  <r>
    <x v="943"/>
    <d v="2012-01-22T00:00:00"/>
    <d v="2020-09-21T00:00:00"/>
    <n v="8"/>
    <m/>
    <s v="Chilliwack"/>
    <s v="Bakery"/>
    <s v="Baker"/>
    <n v="6"/>
    <s v="M"/>
    <s v="Male"/>
    <x v="2"/>
    <x v="0"/>
    <s v="STORES"/>
  </r>
  <r>
    <x v="944"/>
    <d v="2002-12-26T00:00:00"/>
    <d v="2020-11-04T00:00:00"/>
    <n v="18"/>
    <m/>
    <s v="New Westminster"/>
    <s v="Produce"/>
    <s v="Produce Clerk"/>
    <n v="21"/>
    <s v="M"/>
    <s v="Male"/>
    <x v="2"/>
    <x v="0"/>
    <s v="STORES"/>
  </r>
  <r>
    <x v="945"/>
    <d v="1996-02-20T00:00:00"/>
    <d v="2020-04-29T00:00:00"/>
    <n v="24"/>
    <m/>
    <s v="Kamloops"/>
    <s v="Bakery"/>
    <s v="Baker"/>
    <n v="15"/>
    <s v="M"/>
    <s v="Male"/>
    <x v="2"/>
    <x v="0"/>
    <s v="STORES"/>
  </r>
  <r>
    <x v="946"/>
    <d v="2013-04-30T00:00:00"/>
    <d v="2020-07-07T00:00:00"/>
    <n v="7"/>
    <m/>
    <s v="Vancouver"/>
    <s v="Meats"/>
    <s v="Meat Cutter"/>
    <n v="35"/>
    <s v="F"/>
    <s v="Female"/>
    <x v="2"/>
    <x v="0"/>
    <s v="STORES"/>
  </r>
  <r>
    <x v="947"/>
    <d v="1994-08-11T00:00:00"/>
    <d v="2020-12-25T00:00:00"/>
    <n v="26"/>
    <m/>
    <s v="Vancouver"/>
    <s v="Processed Foods"/>
    <s v="Shelf Stocker"/>
    <n v="42"/>
    <s v="F"/>
    <s v="Female"/>
    <x v="1"/>
    <x v="0"/>
    <s v="STORES"/>
  </r>
  <r>
    <x v="948"/>
    <d v="2007-01-25T00:00:00"/>
    <d v="2020-01-21T00:00:00"/>
    <n v="13"/>
    <m/>
    <s v="North Vancouver"/>
    <s v="Produce"/>
    <s v="Produce Clerk"/>
    <n v="22"/>
    <s v="F"/>
    <s v="Female"/>
    <x v="2"/>
    <x v="0"/>
    <s v="STORES"/>
  </r>
  <r>
    <x v="949"/>
    <d v="2009-08-24T00:00:00"/>
    <d v="2020-06-04T00:00:00"/>
    <n v="11"/>
    <m/>
    <s v="Squamish"/>
    <s v="Produce"/>
    <s v="Produce Clerk"/>
    <n v="30"/>
    <s v="M"/>
    <s v="Male"/>
    <x v="2"/>
    <x v="0"/>
    <s v="STORES"/>
  </r>
  <r>
    <x v="950"/>
    <d v="1998-11-12T00:00:00"/>
    <d v="2020-08-29T00:00:00"/>
    <n v="22"/>
    <m/>
    <s v="Victoria"/>
    <s v="Produce"/>
    <s v="Produce Clerk"/>
    <n v="37"/>
    <s v="M"/>
    <s v="Male"/>
    <x v="2"/>
    <x v="0"/>
    <s v="STORES"/>
  </r>
  <r>
    <x v="951"/>
    <d v="2005-06-30T00:00:00"/>
    <d v="2020-01-30T00:00:00"/>
    <n v="15"/>
    <m/>
    <s v="Nanaimo"/>
    <s v="Produce"/>
    <s v="Produce Clerk"/>
    <n v="18"/>
    <s v="M"/>
    <s v="Male"/>
    <x v="2"/>
    <x v="0"/>
    <s v="STORES"/>
  </r>
  <r>
    <x v="952"/>
    <d v="1991-05-11T00:00:00"/>
    <d v="2020-08-29T00:00:00"/>
    <n v="29"/>
    <m/>
    <s v="Vancouver"/>
    <s v="Meats"/>
    <s v="Meat Cutter"/>
    <n v="35"/>
    <s v="F"/>
    <s v="Female"/>
    <x v="2"/>
    <x v="0"/>
    <s v="STORES"/>
  </r>
  <r>
    <x v="953"/>
    <d v="1997-11-17T00:00:00"/>
    <d v="2020-10-09T00:00:00"/>
    <n v="23"/>
    <m/>
    <s v="Langley"/>
    <s v="Produce"/>
    <s v="Produce Clerk"/>
    <n v="17"/>
    <s v="M"/>
    <s v="Male"/>
    <x v="2"/>
    <x v="0"/>
    <s v="STORES"/>
  </r>
  <r>
    <x v="954"/>
    <d v="2000-03-11T00:00:00"/>
    <d v="2020-04-16T00:00:00"/>
    <n v="20"/>
    <m/>
    <s v="Victoria"/>
    <s v="Produce"/>
    <s v="Produce Clerk"/>
    <n v="37"/>
    <s v="M"/>
    <s v="Male"/>
    <x v="2"/>
    <x v="0"/>
    <s v="STORES"/>
  </r>
  <r>
    <x v="955"/>
    <d v="2005-01-15T00:00:00"/>
    <d v="2020-05-26T00:00:00"/>
    <n v="15"/>
    <m/>
    <s v="New Westminster"/>
    <s v="Produce"/>
    <s v="Produce Clerk"/>
    <n v="21"/>
    <s v="M"/>
    <s v="Male"/>
    <x v="2"/>
    <x v="0"/>
    <s v="STORES"/>
  </r>
  <r>
    <x v="956"/>
    <d v="2012-07-18T00:00:00"/>
    <d v="2020-03-12T00:00:00"/>
    <n v="8"/>
    <m/>
    <s v="Nanaimo"/>
    <s v="Bakery"/>
    <s v="Baker"/>
    <n v="18"/>
    <s v="F"/>
    <s v="Female"/>
    <x v="1"/>
    <x v="0"/>
    <s v="STORES"/>
  </r>
  <r>
    <x v="957"/>
    <d v="2012-10-04T00:00:00"/>
    <d v="2020-10-06T00:00:00"/>
    <n v="8"/>
    <m/>
    <s v="Kamloops"/>
    <s v="Bakery"/>
    <s v="Baker"/>
    <n v="15"/>
    <s v="M"/>
    <s v="Male"/>
    <x v="2"/>
    <x v="0"/>
    <s v="STORES"/>
  </r>
  <r>
    <x v="958"/>
    <d v="2004-12-06T00:00:00"/>
    <d v="2020-07-22T00:00:00"/>
    <n v="16"/>
    <m/>
    <s v="Kelowna"/>
    <s v="Bakery"/>
    <s v="Baker"/>
    <n v="16"/>
    <s v="F"/>
    <s v="Female"/>
    <x v="1"/>
    <x v="0"/>
    <s v="STORES"/>
  </r>
  <r>
    <x v="959"/>
    <d v="1997-07-15T00:00:00"/>
    <d v="2020-11-20T00:00:00"/>
    <n v="23"/>
    <m/>
    <s v="Burnaby"/>
    <s v="Produce"/>
    <s v="Produce Clerk"/>
    <n v="5"/>
    <s v="F"/>
    <s v="Female"/>
    <x v="2"/>
    <x v="0"/>
    <s v="STORES"/>
  </r>
  <r>
    <x v="960"/>
    <d v="2001-05-25T00:00:00"/>
    <d v="2020-11-29T00:00:00"/>
    <n v="19"/>
    <m/>
    <s v="Burnaby"/>
    <s v="Produce"/>
    <s v="Produce Clerk"/>
    <n v="5"/>
    <s v="F"/>
    <s v="Female"/>
    <x v="2"/>
    <x v="0"/>
    <s v="STORES"/>
  </r>
  <r>
    <x v="961"/>
    <d v="2007-06-11T00:00:00"/>
    <d v="2020-12-30T00:00:00"/>
    <n v="13"/>
    <m/>
    <s v="Burnaby"/>
    <s v="Produce"/>
    <s v="Produce Clerk"/>
    <n v="5"/>
    <s v="F"/>
    <s v="Female"/>
    <x v="2"/>
    <x v="0"/>
    <s v="STORES"/>
  </r>
  <r>
    <x v="962"/>
    <d v="2012-07-06T00:00:00"/>
    <d v="2020-10-20T00:00:00"/>
    <n v="8"/>
    <m/>
    <s v="Quesnel"/>
    <s v="Produce"/>
    <s v="Produce Clerk"/>
    <n v="28"/>
    <s v="M"/>
    <s v="Male"/>
    <x v="2"/>
    <x v="0"/>
    <s v="STORES"/>
  </r>
  <r>
    <x v="963"/>
    <d v="2009-03-22T00:00:00"/>
    <d v="2020-06-07T00:00:00"/>
    <n v="11"/>
    <m/>
    <s v="West Vancouver"/>
    <s v="Produce"/>
    <s v="Produce Clerk"/>
    <n v="38"/>
    <s v="F"/>
    <s v="Female"/>
    <x v="2"/>
    <x v="0"/>
    <s v="STORES"/>
  </r>
  <r>
    <x v="964"/>
    <d v="2003-04-26T00:00:00"/>
    <d v="2020-08-07T00:00:00"/>
    <n v="17"/>
    <m/>
    <s v="Victoria"/>
    <s v="Produce"/>
    <s v="Produce Clerk"/>
    <n v="37"/>
    <s v="M"/>
    <s v="Male"/>
    <x v="2"/>
    <x v="0"/>
    <s v="STORES"/>
  </r>
  <r>
    <x v="965"/>
    <d v="2012-01-18T00:00:00"/>
    <d v="2020-09-07T00:00:00"/>
    <n v="8"/>
    <m/>
    <s v="New Westminster"/>
    <s v="Produce"/>
    <s v="Produce Clerk"/>
    <n v="21"/>
    <s v="F"/>
    <s v="Female"/>
    <x v="2"/>
    <x v="0"/>
    <s v="STORES"/>
  </r>
  <r>
    <x v="966"/>
    <d v="2004-08-29T00:00:00"/>
    <d v="2020-10-27T00:00:00"/>
    <n v="16"/>
    <m/>
    <s v="Vancouver"/>
    <s v="Meats"/>
    <s v="Meat Cutter"/>
    <n v="35"/>
    <s v="M"/>
    <s v="Male"/>
    <x v="2"/>
    <x v="0"/>
    <s v="STORES"/>
  </r>
  <r>
    <x v="967"/>
    <d v="1997-09-26T00:00:00"/>
    <d v="2020-04-24T00:00:00"/>
    <n v="23"/>
    <m/>
    <s v="Vancouver"/>
    <s v="Meats"/>
    <s v="Meat Cutter"/>
    <n v="35"/>
    <s v="M"/>
    <s v="Male"/>
    <x v="2"/>
    <x v="0"/>
    <s v="STORES"/>
  </r>
  <r>
    <x v="968"/>
    <d v="2000-04-05T00:00:00"/>
    <d v="2020-05-14T00:00:00"/>
    <n v="20"/>
    <m/>
    <s v="Cranbrook"/>
    <s v="Produce"/>
    <s v="Produce Clerk"/>
    <n v="8"/>
    <s v="F"/>
    <s v="Female"/>
    <x v="2"/>
    <x v="0"/>
    <s v="STORES"/>
  </r>
  <r>
    <x v="969"/>
    <d v="2004-05-27T00:00:00"/>
    <d v="2020-07-12T00:00:00"/>
    <n v="16"/>
    <m/>
    <s v="Vancouver"/>
    <s v="Meats"/>
    <s v="Meat Cutter"/>
    <n v="35"/>
    <s v="F"/>
    <s v="Female"/>
    <x v="2"/>
    <x v="0"/>
    <s v="STORES"/>
  </r>
  <r>
    <x v="970"/>
    <d v="2015-05-08T00:00:00"/>
    <d v="2020-07-06T00:00:00"/>
    <n v="5"/>
    <m/>
    <s v="Kamloops"/>
    <s v="Bakery"/>
    <s v="Baker"/>
    <n v="15"/>
    <s v="F"/>
    <s v="Female"/>
    <x v="2"/>
    <x v="0"/>
    <s v="STORES"/>
  </r>
  <r>
    <x v="971"/>
    <d v="2015-04-21T00:00:00"/>
    <d v="2020-02-28T00:00:00"/>
    <n v="5"/>
    <m/>
    <s v="Kelowna"/>
    <s v="Bakery"/>
    <s v="Baker"/>
    <n v="16"/>
    <s v="M"/>
    <s v="Male"/>
    <x v="2"/>
    <x v="0"/>
    <s v="STORES"/>
  </r>
  <r>
    <x v="972"/>
    <d v="2011-09-04T00:00:00"/>
    <d v="2020-09-21T00:00:00"/>
    <n v="9"/>
    <m/>
    <s v="Port Coquitlam"/>
    <s v="Dairy"/>
    <s v="Dairy Person"/>
    <n v="25"/>
    <s v="F"/>
    <s v="Female"/>
    <x v="1"/>
    <x v="0"/>
    <s v="STORES"/>
  </r>
  <r>
    <x v="973"/>
    <d v="2008-08-31T00:00:00"/>
    <d v="2020-12-29T00:00:00"/>
    <n v="12"/>
    <m/>
    <s v="Haney"/>
    <s v="Customer Service"/>
    <s v="Cashier"/>
    <n v="14"/>
    <s v="F"/>
    <s v="Female"/>
    <x v="2"/>
    <x v="0"/>
    <s v="STORES"/>
  </r>
  <r>
    <x v="974"/>
    <d v="1994-07-21T00:00:00"/>
    <d v="2020-01-30T00:00:00"/>
    <n v="26"/>
    <m/>
    <s v="Kamloops"/>
    <s v="Bakery"/>
    <s v="Baker"/>
    <n v="15"/>
    <s v="M"/>
    <s v="Male"/>
    <x v="2"/>
    <x v="0"/>
    <s v="STORES"/>
  </r>
  <r>
    <x v="975"/>
    <d v="2000-11-16T00:00:00"/>
    <d v="2020-02-24T00:00:00"/>
    <n v="20"/>
    <m/>
    <s v="Victoria"/>
    <s v="Produce"/>
    <s v="Produce Clerk"/>
    <n v="37"/>
    <s v="M"/>
    <s v="Male"/>
    <x v="2"/>
    <x v="0"/>
    <s v="STORES"/>
  </r>
  <r>
    <x v="976"/>
    <d v="1994-05-04T00:00:00"/>
    <d v="2020-05-14T00:00:00"/>
    <n v="26"/>
    <m/>
    <s v="Vancouver"/>
    <s v="Meats"/>
    <s v="Meat Cutter"/>
    <n v="35"/>
    <s v="M"/>
    <s v="Male"/>
    <x v="2"/>
    <x v="0"/>
    <s v="STORES"/>
  </r>
  <r>
    <x v="977"/>
    <d v="2007-09-12T00:00:00"/>
    <d v="2020-10-25T00:00:00"/>
    <n v="13"/>
    <m/>
    <s v="Haney"/>
    <s v="Meats"/>
    <s v="Meat Cutter"/>
    <n v="14"/>
    <s v="F"/>
    <s v="Female"/>
    <x v="2"/>
    <x v="0"/>
    <s v="STORES"/>
  </r>
  <r>
    <x v="978"/>
    <d v="2011-01-24T00:00:00"/>
    <d v="2020-09-10T00:00:00"/>
    <n v="9"/>
    <m/>
    <s v="White Rock"/>
    <s v="Customer Service"/>
    <s v="Cashier"/>
    <n v="39"/>
    <s v="F"/>
    <s v="Female"/>
    <x v="2"/>
    <x v="0"/>
    <s v="STORES"/>
  </r>
  <r>
    <x v="979"/>
    <d v="2010-10-31T00:00:00"/>
    <d v="2020-10-15T00:00:00"/>
    <n v="10"/>
    <m/>
    <s v="Squamish"/>
    <s v="Produce"/>
    <s v="Produce Clerk"/>
    <n v="30"/>
    <s v="F"/>
    <s v="Female"/>
    <x v="2"/>
    <x v="0"/>
    <s v="STORES"/>
  </r>
  <r>
    <x v="980"/>
    <d v="2006-08-03T00:00:00"/>
    <d v="2020-01-19T00:00:00"/>
    <n v="14"/>
    <m/>
    <s v="White Rock"/>
    <s v="Customer Service"/>
    <s v="Cashier"/>
    <n v="39"/>
    <s v="F"/>
    <s v="Female"/>
    <x v="2"/>
    <x v="0"/>
    <s v="STORES"/>
  </r>
  <r>
    <x v="981"/>
    <d v="2007-12-24T00:00:00"/>
    <d v="2020-12-10T00:00:00"/>
    <n v="13"/>
    <m/>
    <s v="Cranbrook"/>
    <s v="Bakery"/>
    <s v="Baker"/>
    <n v="8"/>
    <s v="F"/>
    <s v="Female"/>
    <x v="2"/>
    <x v="0"/>
    <s v="STORES"/>
  </r>
  <r>
    <x v="982"/>
    <d v="1995-04-26T00:00:00"/>
    <d v="2020-08-09T00:00:00"/>
    <n v="25"/>
    <m/>
    <s v="Surrey"/>
    <s v="Produce"/>
    <s v="Produce Clerk"/>
    <n v="31"/>
    <s v="M"/>
    <s v="Male"/>
    <x v="2"/>
    <x v="0"/>
    <s v="STORES"/>
  </r>
  <r>
    <x v="983"/>
    <d v="1999-12-06T00:00:00"/>
    <d v="2020-02-27T00:00:00"/>
    <n v="21"/>
    <m/>
    <s v="Cranbrook"/>
    <s v="Bakery"/>
    <s v="Baker"/>
    <n v="8"/>
    <s v="F"/>
    <s v="Female"/>
    <x v="2"/>
    <x v="0"/>
    <s v="STORES"/>
  </r>
  <r>
    <x v="984"/>
    <d v="1999-08-26T00:00:00"/>
    <d v="2020-01-29T00:00:00"/>
    <n v="21"/>
    <m/>
    <s v="Grand Forks"/>
    <s v="Customer Service"/>
    <s v="Customer Service Manager"/>
    <n v="13"/>
    <s v="M"/>
    <s v="Male"/>
    <x v="2"/>
    <x v="0"/>
    <s v="STORES"/>
  </r>
  <r>
    <x v="985"/>
    <d v="2009-12-21T00:00:00"/>
    <d v="2020-06-09T00:00:00"/>
    <n v="11"/>
    <m/>
    <s v="Vancouver"/>
    <s v="Meats"/>
    <s v="Meat Cutter"/>
    <n v="35"/>
    <s v="M"/>
    <s v="Male"/>
    <x v="2"/>
    <x v="0"/>
    <s v="STORES"/>
  </r>
  <r>
    <x v="986"/>
    <d v="2005-05-05T00:00:00"/>
    <d v="2020-11-30T00:00:00"/>
    <n v="15"/>
    <m/>
    <s v="Quesnel"/>
    <s v="Produce"/>
    <s v="Produce Clerk"/>
    <n v="28"/>
    <s v="M"/>
    <s v="Male"/>
    <x v="2"/>
    <x v="0"/>
    <s v="STORES"/>
  </r>
  <r>
    <x v="987"/>
    <d v="2010-05-02T00:00:00"/>
    <d v="2020-04-25T00:00:00"/>
    <n v="10"/>
    <m/>
    <s v="Prince George"/>
    <s v="Produce"/>
    <s v="Produce Clerk"/>
    <n v="26"/>
    <s v="F"/>
    <s v="Female"/>
    <x v="2"/>
    <x v="0"/>
    <s v="STORES"/>
  </r>
  <r>
    <x v="988"/>
    <d v="1991-08-06T00:00:00"/>
    <d v="2020-10-23T00:00:00"/>
    <n v="29"/>
    <m/>
    <s v="Kelowna"/>
    <s v="Bakery"/>
    <s v="Baker"/>
    <n v="16"/>
    <s v="M"/>
    <s v="Male"/>
    <x v="2"/>
    <x v="0"/>
    <s v="STORES"/>
  </r>
  <r>
    <x v="989"/>
    <d v="1991-09-27T00:00:00"/>
    <d v="2020-08-08T00:00:00"/>
    <n v="29"/>
    <m/>
    <s v="Fort Nelson"/>
    <s v="Produce"/>
    <s v="Produce Clerk"/>
    <n v="11"/>
    <s v="F"/>
    <s v="Female"/>
    <x v="2"/>
    <x v="0"/>
    <s v="STORES"/>
  </r>
  <r>
    <x v="990"/>
    <d v="2013-10-05T00:00:00"/>
    <d v="2020-03-10T00:00:00"/>
    <n v="7"/>
    <m/>
    <s v="Kelowna"/>
    <s v="Bakery"/>
    <s v="Baker"/>
    <n v="16"/>
    <s v="F"/>
    <s v="Female"/>
    <x v="2"/>
    <x v="0"/>
    <s v="STORES"/>
  </r>
  <r>
    <x v="991"/>
    <d v="2008-05-31T00:00:00"/>
    <d v="2020-02-15T00:00:00"/>
    <n v="12"/>
    <m/>
    <s v="Pitt Meadows"/>
    <s v="Bakery"/>
    <s v="Baker"/>
    <n v="24"/>
    <s v="F"/>
    <s v="Female"/>
    <x v="2"/>
    <x v="0"/>
    <s v="STORES"/>
  </r>
  <r>
    <x v="992"/>
    <d v="1993-12-27T00:00:00"/>
    <d v="2020-01-01T00:00:00"/>
    <n v="27"/>
    <m/>
    <s v="Kelowna"/>
    <s v="Bakery"/>
    <s v="Baker"/>
    <n v="16"/>
    <s v="F"/>
    <s v="Female"/>
    <x v="2"/>
    <x v="0"/>
    <s v="STORES"/>
  </r>
  <r>
    <x v="993"/>
    <d v="2004-10-10T00:00:00"/>
    <d v="2020-08-02T00:00:00"/>
    <n v="16"/>
    <m/>
    <s v="Kamloops"/>
    <s v="Bakery"/>
    <s v="Baker"/>
    <n v="15"/>
    <s v="M"/>
    <s v="Male"/>
    <x v="2"/>
    <x v="0"/>
    <s v="STORES"/>
  </r>
  <r>
    <x v="994"/>
    <d v="1995-09-22T00:00:00"/>
    <d v="2020-01-31T00:00:00"/>
    <n v="25"/>
    <m/>
    <s v="Burnaby"/>
    <s v="Produce"/>
    <s v="Produce Clerk"/>
    <n v="5"/>
    <s v="F"/>
    <s v="Female"/>
    <x v="2"/>
    <x v="0"/>
    <s v="STORES"/>
  </r>
  <r>
    <x v="995"/>
    <d v="1997-06-25T00:00:00"/>
    <d v="2020-09-05T00:00:00"/>
    <n v="23"/>
    <m/>
    <s v="New Westminster"/>
    <s v="Produce"/>
    <s v="Produce Clerk"/>
    <n v="21"/>
    <s v="M"/>
    <s v="Male"/>
    <x v="2"/>
    <x v="0"/>
    <s v="STORES"/>
  </r>
  <r>
    <x v="996"/>
    <d v="2006-01-17T00:00:00"/>
    <d v="2020-08-28T00:00:00"/>
    <n v="14"/>
    <m/>
    <s v="New Westminster"/>
    <s v="Produce"/>
    <s v="Produce Clerk"/>
    <n v="21"/>
    <s v="F"/>
    <s v="Female"/>
    <x v="2"/>
    <x v="0"/>
    <s v="STORES"/>
  </r>
  <r>
    <x v="997"/>
    <d v="2010-10-20T00:00:00"/>
    <d v="2020-02-15T00:00:00"/>
    <n v="10"/>
    <m/>
    <s v="Fort St John"/>
    <s v="Bakery"/>
    <s v="Baker"/>
    <n v="12"/>
    <s v="M"/>
    <s v="Male"/>
    <x v="2"/>
    <x v="0"/>
    <s v="STORES"/>
  </r>
  <r>
    <x v="998"/>
    <d v="1992-03-28T00:00:00"/>
    <d v="2020-11-06T00:00:00"/>
    <n v="28"/>
    <m/>
    <s v="Port Coquitlam"/>
    <s v="Bakery"/>
    <s v="Baker"/>
    <n v="25"/>
    <s v="M"/>
    <s v="Male"/>
    <x v="2"/>
    <x v="0"/>
    <s v="STORES"/>
  </r>
  <r>
    <x v="999"/>
    <d v="2002-01-11T00:00:00"/>
    <d v="2020-12-01T00:00:00"/>
    <n v="18"/>
    <m/>
    <s v="New Westminster"/>
    <s v="Produce"/>
    <s v="Produce Clerk"/>
    <n v="21"/>
    <s v="F"/>
    <s v="Female"/>
    <x v="2"/>
    <x v="0"/>
    <s v="STORES"/>
  </r>
  <r>
    <x v="1000"/>
    <d v="1990-01-03T00:00:00"/>
    <d v="2020-10-23T00:00:00"/>
    <n v="30"/>
    <m/>
    <s v="Nanaimo"/>
    <s v="Produce"/>
    <s v="Produce Clerk"/>
    <n v="18"/>
    <s v="M"/>
    <s v="Male"/>
    <x v="2"/>
    <x v="0"/>
    <s v="STORES"/>
  </r>
  <r>
    <x v="1001"/>
    <d v="2003-07-27T00:00:00"/>
    <d v="2020-11-04T00:00:00"/>
    <n v="17"/>
    <m/>
    <s v="Kamloops"/>
    <s v="Customer Service"/>
    <s v="Cashier"/>
    <n v="15"/>
    <s v="M"/>
    <s v="Male"/>
    <x v="2"/>
    <x v="0"/>
    <s v="STORES"/>
  </r>
  <r>
    <x v="1002"/>
    <d v="2004-01-08T00:00:00"/>
    <d v="2020-11-05T00:00:00"/>
    <n v="16"/>
    <m/>
    <s v="Victoria"/>
    <s v="Produce"/>
    <s v="Produce Clerk"/>
    <n v="37"/>
    <s v="M"/>
    <s v="Male"/>
    <x v="2"/>
    <x v="0"/>
    <s v="STORES"/>
  </r>
  <r>
    <x v="1003"/>
    <d v="2000-03-08T00:00:00"/>
    <d v="2020-09-11T00:00:00"/>
    <n v="20"/>
    <m/>
    <s v="Burnaby"/>
    <s v="Produce"/>
    <s v="Produce Clerk"/>
    <n v="5"/>
    <s v="M"/>
    <s v="Male"/>
    <x v="2"/>
    <x v="0"/>
    <s v="STORES"/>
  </r>
  <r>
    <x v="1004"/>
    <d v="1998-03-29T00:00:00"/>
    <d v="2020-07-10T00:00:00"/>
    <n v="22"/>
    <m/>
    <s v="West Vancouver"/>
    <s v="Produce"/>
    <s v="Produce Clerk"/>
    <n v="38"/>
    <s v="F"/>
    <s v="Female"/>
    <x v="2"/>
    <x v="0"/>
    <s v="STORES"/>
  </r>
  <r>
    <x v="1005"/>
    <d v="2006-06-11T00:00:00"/>
    <d v="2020-09-04T00:00:00"/>
    <n v="14"/>
    <m/>
    <s v="Langley"/>
    <s v="Produce"/>
    <s v="Produce Clerk"/>
    <n v="17"/>
    <s v="M"/>
    <s v="Male"/>
    <x v="2"/>
    <x v="0"/>
    <s v="STORES"/>
  </r>
  <r>
    <x v="1006"/>
    <d v="1996-11-25T00:00:00"/>
    <d v="2020-06-29T00:00:00"/>
    <n v="24"/>
    <m/>
    <s v="New Westminister"/>
    <s v="Produce"/>
    <s v="Produce Clerk"/>
    <n v="20"/>
    <s v="M"/>
    <s v="Male"/>
    <x v="2"/>
    <x v="0"/>
    <s v="STORES"/>
  </r>
  <r>
    <x v="1007"/>
    <d v="1997-08-29T00:00:00"/>
    <d v="2020-03-11T00:00:00"/>
    <n v="23"/>
    <m/>
    <s v="Vancouver"/>
    <s v="Meats"/>
    <s v="Meat Cutter"/>
    <n v="35"/>
    <s v="F"/>
    <s v="Female"/>
    <x v="2"/>
    <x v="0"/>
    <s v="STORES"/>
  </r>
  <r>
    <x v="1008"/>
    <d v="1994-07-14T00:00:00"/>
    <d v="2020-05-16T00:00:00"/>
    <n v="26"/>
    <m/>
    <s v="Vancouver"/>
    <s v="Meats"/>
    <s v="Meat Cutter"/>
    <n v="35"/>
    <s v="M"/>
    <s v="Male"/>
    <x v="2"/>
    <x v="0"/>
    <s v="STORES"/>
  </r>
  <r>
    <x v="1009"/>
    <d v="1995-06-01T00:00:00"/>
    <d v="2020-03-19T00:00:00"/>
    <n v="25"/>
    <m/>
    <s v="North Vancouver"/>
    <s v="Produce"/>
    <s v="Produce Clerk"/>
    <n v="22"/>
    <s v="M"/>
    <s v="Male"/>
    <x v="2"/>
    <x v="0"/>
    <s v="STORES"/>
  </r>
  <r>
    <x v="1010"/>
    <d v="1993-08-23T00:00:00"/>
    <d v="2020-10-06T00:00:00"/>
    <n v="27"/>
    <m/>
    <s v="Vancouver"/>
    <s v="Meats"/>
    <s v="Meat Cutter"/>
    <n v="35"/>
    <s v="M"/>
    <s v="Male"/>
    <x v="2"/>
    <x v="0"/>
    <s v="STORES"/>
  </r>
  <r>
    <x v="1011"/>
    <d v="1995-12-10T00:00:00"/>
    <d v="2020-09-26T00:00:00"/>
    <n v="25"/>
    <m/>
    <s v="Vancouver"/>
    <s v="Meats"/>
    <s v="Meat Cutter"/>
    <n v="35"/>
    <s v="F"/>
    <s v="Female"/>
    <x v="2"/>
    <x v="0"/>
    <s v="STORES"/>
  </r>
  <r>
    <x v="1012"/>
    <d v="1995-07-05T00:00:00"/>
    <d v="2020-03-18T00:00:00"/>
    <n v="25"/>
    <m/>
    <s v="Vancouver"/>
    <s v="Meats"/>
    <s v="Meat Cutter"/>
    <n v="35"/>
    <s v="F"/>
    <s v="Female"/>
    <x v="2"/>
    <x v="0"/>
    <s v="STORES"/>
  </r>
  <r>
    <x v="1013"/>
    <d v="2004-01-11T00:00:00"/>
    <d v="2020-04-10T00:00:00"/>
    <n v="16"/>
    <m/>
    <s v="Vancouver"/>
    <s v="Meats"/>
    <s v="Meat Cutter"/>
    <n v="35"/>
    <s v="M"/>
    <s v="Male"/>
    <x v="2"/>
    <x v="0"/>
    <s v="STORES"/>
  </r>
  <r>
    <x v="1014"/>
    <d v="2001-04-28T00:00:00"/>
    <d v="2020-11-29T00:00:00"/>
    <n v="19"/>
    <m/>
    <s v="Vancouver"/>
    <s v="Meats"/>
    <s v="Meat Cutter"/>
    <n v="35"/>
    <s v="M"/>
    <s v="Male"/>
    <x v="2"/>
    <x v="0"/>
    <s v="STORES"/>
  </r>
  <r>
    <x v="1015"/>
    <d v="1992-09-14T00:00:00"/>
    <d v="2020-08-07T00:00:00"/>
    <n v="28"/>
    <m/>
    <s v="North Vancouver"/>
    <s v="Produce"/>
    <s v="Produce Clerk"/>
    <n v="22"/>
    <s v="F"/>
    <s v="Female"/>
    <x v="2"/>
    <x v="0"/>
    <s v="STORES"/>
  </r>
  <r>
    <x v="1016"/>
    <d v="2007-12-02T00:00:00"/>
    <d v="2020-12-21T00:00:00"/>
    <n v="13"/>
    <m/>
    <s v="Prince George"/>
    <s v="Produce"/>
    <s v="Produce Clerk"/>
    <n v="26"/>
    <s v="F"/>
    <s v="Female"/>
    <x v="2"/>
    <x v="0"/>
    <s v="STORES"/>
  </r>
  <r>
    <x v="1017"/>
    <d v="1995-01-05T00:00:00"/>
    <d v="2020-01-08T00:00:00"/>
    <n v="25"/>
    <m/>
    <s v="Richmond"/>
    <s v="Bakery"/>
    <s v="Baker"/>
    <n v="29"/>
    <s v="F"/>
    <s v="Female"/>
    <x v="2"/>
    <x v="0"/>
    <s v="STORES"/>
  </r>
  <r>
    <x v="1018"/>
    <d v="1995-11-11T00:00:00"/>
    <d v="2020-03-26T00:00:00"/>
    <n v="25"/>
    <m/>
    <s v="Vancouver"/>
    <s v="Meats"/>
    <s v="Meat Cutter"/>
    <n v="35"/>
    <s v="F"/>
    <s v="Female"/>
    <x v="2"/>
    <x v="0"/>
    <s v="STORES"/>
  </r>
  <r>
    <x v="1019"/>
    <d v="1992-01-13T00:00:00"/>
    <d v="2020-04-17T00:00:00"/>
    <n v="28"/>
    <m/>
    <s v="Quesnel"/>
    <s v="Produce"/>
    <s v="Produce Clerk"/>
    <n v="28"/>
    <s v="F"/>
    <s v="Female"/>
    <x v="2"/>
    <x v="0"/>
    <s v="STORES"/>
  </r>
  <r>
    <x v="1020"/>
    <d v="2009-08-12T00:00:00"/>
    <d v="2020-07-27T00:00:00"/>
    <n v="11"/>
    <m/>
    <s v="West Vancouver"/>
    <s v="Produce"/>
    <s v="Produce Clerk"/>
    <n v="38"/>
    <s v="M"/>
    <s v="Male"/>
    <x v="2"/>
    <x v="0"/>
    <s v="STORES"/>
  </r>
  <r>
    <x v="1021"/>
    <d v="2006-07-26T00:00:00"/>
    <d v="2020-11-25T00:00:00"/>
    <n v="14"/>
    <m/>
    <s v="Victoria"/>
    <s v="Produce"/>
    <s v="Produce Clerk"/>
    <n v="37"/>
    <s v="M"/>
    <s v="Male"/>
    <x v="2"/>
    <x v="0"/>
    <s v="STORES"/>
  </r>
  <r>
    <x v="1022"/>
    <d v="2001-08-30T00:00:00"/>
    <d v="2020-03-29T00:00:00"/>
    <n v="19"/>
    <m/>
    <s v="New Westminster"/>
    <s v="Produce"/>
    <s v="Produce Clerk"/>
    <n v="21"/>
    <s v="M"/>
    <s v="Male"/>
    <x v="2"/>
    <x v="0"/>
    <s v="STORES"/>
  </r>
  <r>
    <x v="1023"/>
    <d v="1994-02-13T00:00:00"/>
    <d v="2020-06-23T00:00:00"/>
    <n v="26"/>
    <m/>
    <s v="Fort St John"/>
    <s v="Bakery"/>
    <s v="Baker"/>
    <n v="12"/>
    <s v="F"/>
    <s v="Female"/>
    <x v="0"/>
    <x v="0"/>
    <s v="STORES"/>
  </r>
  <r>
    <x v="1024"/>
    <d v="2000-04-08T00:00:00"/>
    <d v="2020-07-07T00:00:00"/>
    <n v="20"/>
    <m/>
    <s v="Terrace"/>
    <s v="Dairy"/>
    <s v="Dairy Person"/>
    <n v="32"/>
    <s v="M"/>
    <s v="Male"/>
    <x v="1"/>
    <x v="0"/>
    <s v="STORES"/>
  </r>
  <r>
    <x v="1025"/>
    <d v="2003-08-08T00:00:00"/>
    <d v="2020-11-30T00:00:00"/>
    <n v="17"/>
    <m/>
    <s v="Vancouver"/>
    <s v="Meats"/>
    <s v="Meat Cutter"/>
    <n v="35"/>
    <s v="M"/>
    <s v="Male"/>
    <x v="0"/>
    <x v="0"/>
    <s v="STORES"/>
  </r>
  <r>
    <x v="1026"/>
    <d v="2009-12-01T00:00:00"/>
    <d v="2020-10-14T00:00:00"/>
    <n v="11"/>
    <m/>
    <s v="New Westminister"/>
    <s v="Meats"/>
    <s v="Meat Cutter"/>
    <n v="20"/>
    <s v="F"/>
    <s v="Female"/>
    <x v="2"/>
    <x v="0"/>
    <s v="STORES"/>
  </r>
  <r>
    <x v="1027"/>
    <d v="2000-11-06T00:00:00"/>
    <d v="2020-07-24T00:00:00"/>
    <n v="20"/>
    <m/>
    <s v="Haney"/>
    <s v="Dairy"/>
    <s v="Dairy Person"/>
    <n v="14"/>
    <s v="M"/>
    <s v="Male"/>
    <x v="2"/>
    <x v="0"/>
    <s v="STORES"/>
  </r>
  <r>
    <x v="1028"/>
    <d v="2004-04-22T00:00:00"/>
    <d v="2020-03-18T00:00:00"/>
    <n v="16"/>
    <m/>
    <s v="Dawson Creek"/>
    <s v="Customer Service"/>
    <s v="Cashier"/>
    <n v="9"/>
    <s v="F"/>
    <s v="Female"/>
    <x v="1"/>
    <x v="0"/>
    <s v="STORES"/>
  </r>
  <r>
    <x v="1029"/>
    <d v="2006-06-01T00:00:00"/>
    <d v="2020-04-30T00:00:00"/>
    <n v="14"/>
    <m/>
    <s v="Grand Forks"/>
    <s v="Meats"/>
    <s v="Meat Cutter"/>
    <n v="13"/>
    <s v="M"/>
    <s v="Male"/>
    <x v="2"/>
    <x v="0"/>
    <s v="STORES"/>
  </r>
  <r>
    <x v="1030"/>
    <d v="2008-12-26T00:00:00"/>
    <d v="2020-04-22T00:00:00"/>
    <n v="12"/>
    <m/>
    <s v="New Westminister"/>
    <s v="Meats"/>
    <s v="Meat Cutter"/>
    <n v="20"/>
    <s v="M"/>
    <s v="Male"/>
    <x v="2"/>
    <x v="0"/>
    <s v="STORES"/>
  </r>
  <r>
    <x v="1031"/>
    <d v="2011-07-05T00:00:00"/>
    <d v="2020-06-09T00:00:00"/>
    <n v="9"/>
    <m/>
    <s v="Fort Nelson"/>
    <s v="Produce"/>
    <s v="Produce Clerk"/>
    <n v="11"/>
    <s v="F"/>
    <s v="Female"/>
    <x v="2"/>
    <x v="0"/>
    <s v="STORES"/>
  </r>
  <r>
    <x v="1032"/>
    <d v="1997-02-02T00:00:00"/>
    <d v="2020-07-09T00:00:00"/>
    <n v="23"/>
    <m/>
    <s v="Dease Lake"/>
    <s v="Dairy"/>
    <s v="Dairy Person"/>
    <n v="10"/>
    <s v="M"/>
    <s v="Male"/>
    <x v="2"/>
    <x v="0"/>
    <s v="STORES"/>
  </r>
  <r>
    <x v="1033"/>
    <d v="1994-12-26T00:00:00"/>
    <d v="2020-08-11T00:00:00"/>
    <n v="26"/>
    <m/>
    <s v="Kelowna"/>
    <s v="Bakery"/>
    <s v="Baker"/>
    <n v="16"/>
    <s v="F"/>
    <s v="Female"/>
    <x v="1"/>
    <x v="0"/>
    <s v="STORES"/>
  </r>
  <r>
    <x v="1034"/>
    <d v="2011-02-15T00:00:00"/>
    <d v="2020-02-11T00:00:00"/>
    <n v="9"/>
    <m/>
    <s v="Grand Forks"/>
    <s v="Meats"/>
    <s v="Meat Cutter"/>
    <n v="13"/>
    <s v="M"/>
    <s v="Male"/>
    <x v="2"/>
    <x v="0"/>
    <s v="STORES"/>
  </r>
  <r>
    <x v="1035"/>
    <d v="1991-03-27T00:00:00"/>
    <d v="2020-08-24T00:00:00"/>
    <n v="29"/>
    <m/>
    <s v="Cranbrook"/>
    <s v="Produce"/>
    <s v="Produce Clerk"/>
    <n v="8"/>
    <s v="F"/>
    <s v="Female"/>
    <x v="1"/>
    <x v="0"/>
    <s v="STORES"/>
  </r>
  <r>
    <x v="1036"/>
    <d v="2005-06-08T00:00:00"/>
    <d v="2020-07-28T00:00:00"/>
    <n v="15"/>
    <m/>
    <s v="Bella Bella"/>
    <s v="Customer Service"/>
    <s v="Cashier"/>
    <n v="3"/>
    <s v="F"/>
    <s v="Female"/>
    <x v="1"/>
    <x v="0"/>
    <s v="STORES"/>
  </r>
  <r>
    <x v="1037"/>
    <d v="2012-02-14T00:00:00"/>
    <d v="2020-08-04T00:00:00"/>
    <n v="8"/>
    <m/>
    <s v="Vancouver"/>
    <s v="Customer Service"/>
    <s v="Cashier"/>
    <n v="42"/>
    <s v="F"/>
    <s v="Female"/>
    <x v="1"/>
    <x v="0"/>
    <s v="STORES"/>
  </r>
  <r>
    <x v="1038"/>
    <d v="1991-01-09T00:00:00"/>
    <d v="2020-08-28T00:00:00"/>
    <n v="29"/>
    <m/>
    <s v="Blue River"/>
    <s v="Dairy"/>
    <s v="Dairy Person"/>
    <n v="4"/>
    <s v="F"/>
    <s v="Female"/>
    <x v="2"/>
    <x v="0"/>
    <s v="STORES"/>
  </r>
  <r>
    <x v="1039"/>
    <d v="2005-05-31T00:00:00"/>
    <d v="2020-09-02T00:00:00"/>
    <n v="15"/>
    <m/>
    <s v="Nanaimo"/>
    <s v="Dairy"/>
    <s v="Dairy Person"/>
    <n v="18"/>
    <s v="M"/>
    <s v="Male"/>
    <x v="1"/>
    <x v="0"/>
    <s v="STORES"/>
  </r>
  <r>
    <x v="1040"/>
    <d v="1995-02-14T00:00:00"/>
    <d v="2020-10-02T00:00:00"/>
    <n v="25"/>
    <m/>
    <s v="Terrace"/>
    <s v="Dairy"/>
    <s v="Dairy Person"/>
    <n v="32"/>
    <s v="F"/>
    <s v="Female"/>
    <x v="1"/>
    <x v="0"/>
    <s v="STORES"/>
  </r>
  <r>
    <x v="1041"/>
    <d v="2002-04-04T00:00:00"/>
    <d v="2020-04-05T00:00:00"/>
    <n v="18"/>
    <m/>
    <s v="Nanaimo"/>
    <s v="Dairy"/>
    <s v="Dairy Person"/>
    <n v="18"/>
    <s v="F"/>
    <s v="Female"/>
    <x v="1"/>
    <x v="0"/>
    <s v="STORES"/>
  </r>
  <r>
    <x v="1042"/>
    <d v="2006-05-03T00:00:00"/>
    <d v="2020-04-23T00:00:00"/>
    <n v="14"/>
    <m/>
    <s v="Fort St John"/>
    <s v="Bakery"/>
    <s v="Baker"/>
    <n v="12"/>
    <s v="M"/>
    <s v="Male"/>
    <x v="1"/>
    <x v="0"/>
    <s v="STORES"/>
  </r>
  <r>
    <x v="1043"/>
    <d v="2005-01-01T00:00:00"/>
    <d v="2020-11-08T00:00:00"/>
    <n v="15"/>
    <m/>
    <s v="Fort Nelson"/>
    <s v="Produce"/>
    <s v="Produce Clerk"/>
    <n v="11"/>
    <s v="F"/>
    <s v="Female"/>
    <x v="2"/>
    <x v="0"/>
    <s v="STORES"/>
  </r>
  <r>
    <x v="1044"/>
    <d v="2012-04-26T00:00:00"/>
    <d v="2020-01-19T00:00:00"/>
    <n v="8"/>
    <m/>
    <s v="Kamloops"/>
    <s v="Bakery"/>
    <s v="Baker"/>
    <n v="15"/>
    <s v="M"/>
    <s v="Male"/>
    <x v="1"/>
    <x v="0"/>
    <s v="STORES"/>
  </r>
  <r>
    <x v="1045"/>
    <d v="2000-01-25T00:00:00"/>
    <d v="2020-09-16T00:00:00"/>
    <n v="20"/>
    <m/>
    <s v="Grand Forks"/>
    <s v="Meats"/>
    <s v="Meat Cutter"/>
    <n v="13"/>
    <s v="F"/>
    <s v="Female"/>
    <x v="2"/>
    <x v="0"/>
    <s v="STORES"/>
  </r>
  <r>
    <x v="1046"/>
    <d v="2008-06-11T00:00:00"/>
    <d v="2020-04-23T00:00:00"/>
    <n v="12"/>
    <m/>
    <s v="West Vancouver"/>
    <s v="Dairy"/>
    <s v="Dairy Person"/>
    <n v="38"/>
    <s v="M"/>
    <s v="Male"/>
    <x v="1"/>
    <x v="0"/>
    <s v="STORES"/>
  </r>
  <r>
    <x v="1047"/>
    <d v="1997-11-04T00:00:00"/>
    <d v="2020-08-22T00:00:00"/>
    <n v="23"/>
    <m/>
    <s v="Terrace"/>
    <s v="Processed Foods"/>
    <s v="Shelf Stocker"/>
    <n v="32"/>
    <s v="M"/>
    <s v="Male"/>
    <x v="1"/>
    <x v="0"/>
    <s v="STORES"/>
  </r>
  <r>
    <x v="1048"/>
    <d v="2000-02-15T00:00:00"/>
    <d v="2020-03-19T00:00:00"/>
    <n v="20"/>
    <m/>
    <s v="Victoria"/>
    <s v="Produce"/>
    <s v="Produce Clerk"/>
    <n v="46"/>
    <s v="M"/>
    <s v="Male"/>
    <x v="1"/>
    <x v="0"/>
    <s v="STORES"/>
  </r>
  <r>
    <x v="1049"/>
    <d v="1998-08-16T00:00:00"/>
    <d v="2020-03-09T00:00:00"/>
    <n v="22"/>
    <m/>
    <s v="Vancouver"/>
    <s v="Customer Service"/>
    <s v="Cashier"/>
    <n v="42"/>
    <s v="M"/>
    <s v="Male"/>
    <x v="1"/>
    <x v="0"/>
    <s v="STORES"/>
  </r>
  <r>
    <x v="1050"/>
    <d v="1999-06-08T00:00:00"/>
    <d v="2020-12-21T00:00:00"/>
    <n v="21"/>
    <m/>
    <s v="Fort Nelson"/>
    <s v="Produce"/>
    <s v="Produce Clerk"/>
    <n v="11"/>
    <s v="F"/>
    <s v="Female"/>
    <x v="2"/>
    <x v="0"/>
    <s v="STORES"/>
  </r>
  <r>
    <x v="1051"/>
    <d v="2014-08-13T00:00:00"/>
    <d v="2020-09-05T00:00:00"/>
    <n v="6"/>
    <m/>
    <s v="New Westminister"/>
    <s v="Meats"/>
    <s v="Meat Cutter"/>
    <n v="20"/>
    <s v="F"/>
    <s v="Female"/>
    <x v="2"/>
    <x v="0"/>
    <s v="STORES"/>
  </r>
  <r>
    <x v="1052"/>
    <d v="1997-12-05T00:00:00"/>
    <d v="2020-04-06T00:00:00"/>
    <n v="23"/>
    <m/>
    <s v="Williams Lake"/>
    <s v="Bakery"/>
    <s v="Baker"/>
    <n v="40"/>
    <s v="M"/>
    <s v="Male"/>
    <x v="1"/>
    <x v="0"/>
    <s v="STORES"/>
  </r>
  <r>
    <x v="1053"/>
    <d v="2012-02-10T00:00:00"/>
    <d v="2020-03-25T00:00:00"/>
    <n v="8"/>
    <m/>
    <s v="Vancouver"/>
    <s v="Customer Service"/>
    <s v="Cashier"/>
    <n v="42"/>
    <s v="F"/>
    <s v="Female"/>
    <x v="1"/>
    <x v="0"/>
    <s v="STORES"/>
  </r>
  <r>
    <x v="1054"/>
    <d v="1992-04-22T00:00:00"/>
    <d v="2020-05-22T00:00:00"/>
    <n v="28"/>
    <m/>
    <s v="Ocean Falls"/>
    <s v="Dairy"/>
    <s v="Dairy Person"/>
    <n v="23"/>
    <s v="M"/>
    <s v="Male"/>
    <x v="2"/>
    <x v="0"/>
    <s v="STORES"/>
  </r>
  <r>
    <x v="1055"/>
    <d v="2002-01-14T00:00:00"/>
    <d v="2020-04-25T00:00:00"/>
    <n v="18"/>
    <m/>
    <s v="Vancouver"/>
    <s v="Customer Service"/>
    <s v="Cashier"/>
    <n v="42"/>
    <s v="M"/>
    <s v="Male"/>
    <x v="1"/>
    <x v="0"/>
    <s v="STORES"/>
  </r>
  <r>
    <x v="1056"/>
    <d v="2010-03-14T00:00:00"/>
    <d v="2020-01-02T00:00:00"/>
    <n v="10"/>
    <m/>
    <s v="Fort Nelson"/>
    <s v="Bakery"/>
    <s v="Baker"/>
    <n v="11"/>
    <s v="M"/>
    <s v="Male"/>
    <x v="1"/>
    <x v="0"/>
    <s v="STORES"/>
  </r>
  <r>
    <x v="1057"/>
    <d v="1999-10-13T00:00:00"/>
    <d v="2020-09-23T00:00:00"/>
    <n v="21"/>
    <m/>
    <s v="White Rock"/>
    <s v="Customer Service"/>
    <s v="Cashier"/>
    <n v="39"/>
    <s v="F"/>
    <s v="Female"/>
    <x v="2"/>
    <x v="0"/>
    <s v="STORES"/>
  </r>
  <r>
    <x v="1058"/>
    <d v="2003-02-12T00:00:00"/>
    <d v="2020-05-07T00:00:00"/>
    <n v="17"/>
    <m/>
    <s v="Cortes Island"/>
    <s v="Dairy"/>
    <s v="Dairy Person"/>
    <n v="7"/>
    <s v="F"/>
    <s v="Female"/>
    <x v="2"/>
    <x v="0"/>
    <s v="STORES"/>
  </r>
  <r>
    <x v="1059"/>
    <d v="2002-05-04T00:00:00"/>
    <d v="2020-11-09T00:00:00"/>
    <n v="18"/>
    <m/>
    <s v="Fort Nelson"/>
    <s v="Bakery"/>
    <s v="Baker"/>
    <n v="11"/>
    <s v="M"/>
    <s v="Male"/>
    <x v="1"/>
    <x v="0"/>
    <s v="STORES"/>
  </r>
  <r>
    <x v="1060"/>
    <d v="2011-08-28T00:00:00"/>
    <d v="2020-05-22T00:00:00"/>
    <n v="9"/>
    <m/>
    <s v="Richmond"/>
    <s v="Bakery"/>
    <s v="Baker"/>
    <n v="29"/>
    <s v="F"/>
    <s v="Female"/>
    <x v="1"/>
    <x v="0"/>
    <s v="STORES"/>
  </r>
  <r>
    <x v="1061"/>
    <d v="2007-10-16T00:00:00"/>
    <d v="2020-12-08T00:00:00"/>
    <n v="13"/>
    <m/>
    <s v="Kelowna"/>
    <s v="Bakery"/>
    <s v="Baker"/>
    <n v="16"/>
    <s v="F"/>
    <s v="Female"/>
    <x v="1"/>
    <x v="0"/>
    <s v="STORES"/>
  </r>
  <r>
    <x v="1062"/>
    <d v="2011-01-17T00:00:00"/>
    <d v="2020-07-06T00:00:00"/>
    <n v="9"/>
    <m/>
    <s v="Vancouver"/>
    <s v="Customer Service"/>
    <s v="Cashier"/>
    <n v="42"/>
    <s v="M"/>
    <s v="Male"/>
    <x v="1"/>
    <x v="0"/>
    <s v="STORES"/>
  </r>
  <r>
    <x v="1063"/>
    <d v="2002-02-05T00:00:00"/>
    <d v="2020-03-26T00:00:00"/>
    <n v="18"/>
    <m/>
    <s v="Haney"/>
    <s v="Customer Service"/>
    <s v="Cashier"/>
    <n v="14"/>
    <s v="M"/>
    <s v="Male"/>
    <x v="2"/>
    <x v="0"/>
    <s v="STORES"/>
  </r>
  <r>
    <x v="1064"/>
    <d v="1999-11-06T00:00:00"/>
    <d v="2020-11-29T00:00:00"/>
    <n v="21"/>
    <m/>
    <s v="Vancouver"/>
    <s v="Customer Service"/>
    <s v="Cashier"/>
    <n v="42"/>
    <s v="F"/>
    <s v="Female"/>
    <x v="1"/>
    <x v="0"/>
    <s v="STORES"/>
  </r>
  <r>
    <x v="1065"/>
    <d v="2014-09-07T00:00:00"/>
    <d v="2020-07-05T00:00:00"/>
    <n v="6"/>
    <m/>
    <s v="Grand Forks"/>
    <s v="Meats"/>
    <s v="Meat Cutter"/>
    <n v="13"/>
    <s v="F"/>
    <s v="Female"/>
    <x v="2"/>
    <x v="0"/>
    <s v="STORES"/>
  </r>
  <r>
    <x v="1066"/>
    <d v="2005-11-23T00:00:00"/>
    <d v="2020-01-26T00:00:00"/>
    <n v="15"/>
    <m/>
    <s v="Vancouver"/>
    <s v="Customer Service"/>
    <s v="Cashier"/>
    <n v="42"/>
    <s v="M"/>
    <s v="Male"/>
    <x v="1"/>
    <x v="0"/>
    <s v="STORES"/>
  </r>
  <r>
    <x v="1067"/>
    <d v="1993-01-30T00:00:00"/>
    <d v="2020-11-03T00:00:00"/>
    <n v="27"/>
    <m/>
    <s v="Surrey"/>
    <s v="Dairy"/>
    <s v="Dairy Person"/>
    <n v="31"/>
    <s v="F"/>
    <s v="Female"/>
    <x v="1"/>
    <x v="0"/>
    <s v="STORES"/>
  </r>
  <r>
    <x v="1068"/>
    <d v="2002-06-20T00:00:00"/>
    <d v="2020-08-02T00:00:00"/>
    <n v="18"/>
    <m/>
    <s v="Dawson Creek"/>
    <s v="Customer Service"/>
    <s v="Cashier"/>
    <n v="9"/>
    <s v="F"/>
    <s v="Female"/>
    <x v="2"/>
    <x v="0"/>
    <s v="STORES"/>
  </r>
  <r>
    <x v="1069"/>
    <d v="2004-05-24T00:00:00"/>
    <d v="2020-01-24T00:00:00"/>
    <n v="16"/>
    <m/>
    <s v="Fort Nelson"/>
    <s v="Bakery"/>
    <s v="Baker"/>
    <n v="11"/>
    <s v="F"/>
    <s v="Female"/>
    <x v="2"/>
    <x v="0"/>
    <s v="STORES"/>
  </r>
  <r>
    <x v="1070"/>
    <d v="1998-02-22T00:00:00"/>
    <d v="2020-04-19T00:00:00"/>
    <n v="22"/>
    <m/>
    <s v="Quesnel"/>
    <s v="Dairy"/>
    <s v="Dairy Person"/>
    <n v="28"/>
    <s v="M"/>
    <s v="Male"/>
    <x v="1"/>
    <x v="0"/>
    <s v="STORES"/>
  </r>
  <r>
    <x v="1071"/>
    <d v="2014-01-11T00:00:00"/>
    <d v="2020-04-27T00:00:00"/>
    <n v="6"/>
    <m/>
    <s v="Vancouver"/>
    <s v="Customer Service"/>
    <s v="Cashier"/>
    <n v="42"/>
    <s v="M"/>
    <s v="Male"/>
    <x v="1"/>
    <x v="0"/>
    <s v="STORES"/>
  </r>
  <r>
    <x v="1072"/>
    <d v="1990-11-26T00:00:00"/>
    <d v="2020-02-27T00:00:00"/>
    <n v="30"/>
    <m/>
    <s v="New Westminister"/>
    <s v="Produce"/>
    <s v="Produce Clerk"/>
    <n v="20"/>
    <s v="F"/>
    <s v="Female"/>
    <x v="1"/>
    <x v="0"/>
    <s v="STORES"/>
  </r>
  <r>
    <x v="1073"/>
    <d v="2007-06-16T00:00:00"/>
    <d v="2020-08-27T00:00:00"/>
    <n v="13"/>
    <m/>
    <s v="Vancouver"/>
    <s v="Customer Service"/>
    <s v="Cashier"/>
    <n v="42"/>
    <s v="F"/>
    <s v="Female"/>
    <x v="1"/>
    <x v="0"/>
    <s v="STORES"/>
  </r>
  <r>
    <x v="1074"/>
    <d v="1999-06-21T00:00:00"/>
    <d v="2020-12-19T00:00:00"/>
    <n v="21"/>
    <m/>
    <s v="Grand Forks"/>
    <s v="Produce"/>
    <s v="Produce Clerk"/>
    <n v="13"/>
    <s v="F"/>
    <s v="Female"/>
    <x v="2"/>
    <x v="0"/>
    <s v="STORES"/>
  </r>
  <r>
    <x v="1075"/>
    <d v="2004-07-31T00:00:00"/>
    <d v="2020-10-25T00:00:00"/>
    <n v="16"/>
    <m/>
    <s v="Fort Nelson"/>
    <s v="Bakery"/>
    <s v="Baker"/>
    <n v="11"/>
    <s v="F"/>
    <s v="Female"/>
    <x v="2"/>
    <x v="0"/>
    <s v="STORES"/>
  </r>
  <r>
    <x v="1076"/>
    <d v="2011-10-05T00:00:00"/>
    <d v="2020-04-17T00:00:00"/>
    <n v="9"/>
    <m/>
    <s v="Kelowna"/>
    <s v="Dairy"/>
    <s v="Dairy Person"/>
    <n v="16"/>
    <s v="F"/>
    <s v="Female"/>
    <x v="1"/>
    <x v="0"/>
    <s v="STORES"/>
  </r>
  <r>
    <x v="1077"/>
    <d v="2015-12-01T00:00:00"/>
    <d v="2020-03-09T00:00:00"/>
    <n v="5"/>
    <m/>
    <s v="Princeton"/>
    <s v="Customer Service"/>
    <s v="Cashier"/>
    <n v="27"/>
    <s v="M"/>
    <s v="Male"/>
    <x v="2"/>
    <x v="0"/>
    <s v="STORES"/>
  </r>
  <r>
    <x v="1078"/>
    <d v="2008-02-28T00:00:00"/>
    <d v="2020-11-04T00:00:00"/>
    <n v="12"/>
    <m/>
    <s v="Cranbrook"/>
    <s v="Bakery"/>
    <s v="Baker"/>
    <n v="8"/>
    <s v="M"/>
    <s v="Male"/>
    <x v="1"/>
    <x v="0"/>
    <s v="STORES"/>
  </r>
  <r>
    <x v="1079"/>
    <d v="2006-03-25T00:00:00"/>
    <d v="2020-11-15T00:00:00"/>
    <n v="14"/>
    <m/>
    <s v="Langley"/>
    <s v="Dairy"/>
    <s v="Dairy Person"/>
    <n v="17"/>
    <s v="M"/>
    <s v="Male"/>
    <x v="1"/>
    <x v="0"/>
    <s v="STORES"/>
  </r>
  <r>
    <x v="1080"/>
    <d v="1992-01-01T00:00:00"/>
    <d v="2020-07-16T00:00:00"/>
    <n v="28"/>
    <m/>
    <s v="Grand Forks"/>
    <s v="Produce"/>
    <s v="Produce Clerk"/>
    <n v="13"/>
    <s v="M"/>
    <s v="Male"/>
    <x v="2"/>
    <x v="0"/>
    <s v="STORES"/>
  </r>
  <r>
    <x v="1081"/>
    <d v="1993-02-01T00:00:00"/>
    <d v="2020-07-20T00:00:00"/>
    <n v="27"/>
    <m/>
    <s v="Fort Nelson"/>
    <s v="Bakery"/>
    <s v="Baker"/>
    <n v="11"/>
    <s v="F"/>
    <s v="Female"/>
    <x v="2"/>
    <x v="0"/>
    <s v="STORES"/>
  </r>
  <r>
    <x v="1082"/>
    <d v="1998-03-14T00:00:00"/>
    <d v="2020-06-05T00:00:00"/>
    <n v="22"/>
    <m/>
    <s v="Port Coquitlam"/>
    <s v="Processed Foods"/>
    <s v="Shelf Stocker"/>
    <n v="25"/>
    <s v="F"/>
    <s v="Female"/>
    <x v="1"/>
    <x v="0"/>
    <s v="STORES"/>
  </r>
  <r>
    <x v="1083"/>
    <d v="2007-11-03T00:00:00"/>
    <d v="2020-08-24T00:00:00"/>
    <n v="13"/>
    <m/>
    <s v="Fort St John"/>
    <s v="Bakery"/>
    <s v="Baker"/>
    <n v="12"/>
    <s v="F"/>
    <s v="Female"/>
    <x v="1"/>
    <x v="0"/>
    <s v="STORES"/>
  </r>
  <r>
    <x v="1084"/>
    <d v="1993-04-13T00:00:00"/>
    <d v="2020-09-07T00:00:00"/>
    <n v="27"/>
    <m/>
    <s v="Vancouver"/>
    <s v="Meats"/>
    <s v="Meat Cutter"/>
    <n v="43"/>
    <s v="M"/>
    <s v="Male"/>
    <x v="1"/>
    <x v="0"/>
    <s v="STORES"/>
  </r>
  <r>
    <x v="1085"/>
    <d v="2012-05-25T00:00:00"/>
    <d v="2020-10-03T00:00:00"/>
    <n v="8"/>
    <m/>
    <s v="Grand Forks"/>
    <s v="Produce"/>
    <s v="Produce Clerk"/>
    <n v="13"/>
    <s v="M"/>
    <s v="Male"/>
    <x v="2"/>
    <x v="0"/>
    <s v="STORES"/>
  </r>
  <r>
    <x v="1086"/>
    <d v="2013-12-14T00:00:00"/>
    <d v="2020-06-08T00:00:00"/>
    <n v="7"/>
    <m/>
    <s v="Grand Forks"/>
    <s v="Produce"/>
    <s v="Produce Clerk"/>
    <n v="13"/>
    <s v="F"/>
    <s v="Female"/>
    <x v="2"/>
    <x v="0"/>
    <s v="STORES"/>
  </r>
  <r>
    <x v="1087"/>
    <d v="2009-02-07T00:00:00"/>
    <d v="2020-02-12T00:00:00"/>
    <n v="11"/>
    <m/>
    <s v="Victoria"/>
    <s v="Produce"/>
    <s v="Produce Clerk"/>
    <n v="46"/>
    <s v="F"/>
    <s v="Female"/>
    <x v="1"/>
    <x v="0"/>
    <s v="STORES"/>
  </r>
  <r>
    <x v="1088"/>
    <d v="2000-08-17T00:00:00"/>
    <d v="2020-02-26T00:00:00"/>
    <n v="20"/>
    <m/>
    <s v="White Rock"/>
    <s v="Customer Service"/>
    <s v="Cashier"/>
    <n v="39"/>
    <s v="M"/>
    <s v="Male"/>
    <x v="2"/>
    <x v="0"/>
    <s v="STORES"/>
  </r>
  <r>
    <x v="1089"/>
    <d v="2015-05-05T00:00:00"/>
    <d v="2020-05-13T00:00:00"/>
    <n v="5"/>
    <m/>
    <s v="Grand Forks"/>
    <s v="Bakery"/>
    <s v="Baker"/>
    <n v="13"/>
    <s v="M"/>
    <s v="Male"/>
    <x v="2"/>
    <x v="0"/>
    <s v="STORES"/>
  </r>
  <r>
    <x v="1090"/>
    <d v="1999-12-16T00:00:00"/>
    <d v="2020-12-11T00:00:00"/>
    <n v="21"/>
    <m/>
    <s v="Fort Nelson"/>
    <s v="Dairy"/>
    <s v="Dairy Person"/>
    <n v="11"/>
    <s v="F"/>
    <s v="Female"/>
    <x v="2"/>
    <x v="0"/>
    <s v="STORES"/>
  </r>
  <r>
    <x v="1091"/>
    <d v="2011-03-31T00:00:00"/>
    <d v="2020-05-21T00:00:00"/>
    <n v="9"/>
    <m/>
    <s v="Princeton"/>
    <s v="Processed Foods"/>
    <s v="Shelf Stocker"/>
    <n v="27"/>
    <s v="F"/>
    <s v="Female"/>
    <x v="2"/>
    <x v="0"/>
    <s v="STORES"/>
  </r>
  <r>
    <x v="1092"/>
    <d v="1993-05-14T00:00:00"/>
    <d v="2020-03-09T00:00:00"/>
    <n v="27"/>
    <m/>
    <s v="White Rock"/>
    <s v="Customer Service"/>
    <s v="Cashier"/>
    <n v="39"/>
    <s v="F"/>
    <s v="Female"/>
    <x v="2"/>
    <x v="0"/>
    <s v="STORES"/>
  </r>
  <r>
    <x v="1093"/>
    <d v="1995-07-07T00:00:00"/>
    <d v="2020-01-31T00:00:00"/>
    <n v="25"/>
    <m/>
    <s v="Vancouver"/>
    <s v="Produce"/>
    <s v="Produce Clerk"/>
    <n v="43"/>
    <s v="F"/>
    <s v="Female"/>
    <x v="1"/>
    <x v="0"/>
    <s v="STORES"/>
  </r>
  <r>
    <x v="1094"/>
    <d v="1992-07-20T00:00:00"/>
    <d v="2020-03-08T00:00:00"/>
    <n v="28"/>
    <m/>
    <s v="Vancouver"/>
    <s v="Produce"/>
    <s v="Produce Clerk"/>
    <n v="43"/>
    <s v="F"/>
    <s v="Female"/>
    <x v="1"/>
    <x v="0"/>
    <s v="STORES"/>
  </r>
  <r>
    <x v="1095"/>
    <d v="2001-11-30T00:00:00"/>
    <d v="2020-02-09T00:00:00"/>
    <n v="19"/>
    <m/>
    <s v="Fort Nelson"/>
    <s v="Dairy"/>
    <s v="Dairy Person"/>
    <n v="11"/>
    <s v="M"/>
    <s v="Male"/>
    <x v="2"/>
    <x v="0"/>
    <s v="STORES"/>
  </r>
  <r>
    <x v="1096"/>
    <d v="1991-07-31T00:00:00"/>
    <d v="2020-08-24T00:00:00"/>
    <n v="29"/>
    <m/>
    <s v="Vancouver"/>
    <s v="Produce"/>
    <s v="Produce Clerk"/>
    <n v="43"/>
    <s v="F"/>
    <s v="Female"/>
    <x v="1"/>
    <x v="0"/>
    <s v="STORES"/>
  </r>
  <r>
    <x v="1097"/>
    <d v="1992-08-24T00:00:00"/>
    <d v="2020-06-26T00:00:00"/>
    <n v="28"/>
    <m/>
    <s v="Burnaby"/>
    <s v="Dairy"/>
    <s v="Dairy Person"/>
    <n v="5"/>
    <s v="M"/>
    <s v="Male"/>
    <x v="1"/>
    <x v="0"/>
    <s v="STORES"/>
  </r>
  <r>
    <x v="1098"/>
    <d v="1991-01-16T00:00:00"/>
    <d v="2020-06-28T00:00:00"/>
    <n v="29"/>
    <m/>
    <s v="Kelowna"/>
    <s v="Dairy"/>
    <s v="Dairy Person"/>
    <n v="16"/>
    <s v="M"/>
    <s v="Male"/>
    <x v="1"/>
    <x v="0"/>
    <s v="STORES"/>
  </r>
  <r>
    <x v="1099"/>
    <d v="1996-08-09T00:00:00"/>
    <d v="2020-06-13T00:00:00"/>
    <n v="24"/>
    <m/>
    <s v="New Westminister"/>
    <s v="Produce"/>
    <s v="Produce Clerk"/>
    <n v="20"/>
    <s v="F"/>
    <s v="Female"/>
    <x v="2"/>
    <x v="0"/>
    <s v="STORES"/>
  </r>
  <r>
    <x v="1100"/>
    <d v="2010-09-20T00:00:00"/>
    <d v="2020-12-16T00:00:00"/>
    <n v="10"/>
    <m/>
    <s v="New Westminster"/>
    <s v="Dairy"/>
    <s v="Dairy Person"/>
    <n v="21"/>
    <s v="M"/>
    <s v="Male"/>
    <x v="1"/>
    <x v="0"/>
    <s v="STORES"/>
  </r>
  <r>
    <x v="1101"/>
    <d v="2000-12-17T00:00:00"/>
    <d v="2020-07-21T00:00:00"/>
    <n v="20"/>
    <m/>
    <s v="New Westminister"/>
    <s v="Produce"/>
    <s v="Produce Clerk"/>
    <n v="20"/>
    <s v="M"/>
    <s v="Male"/>
    <x v="1"/>
    <x v="0"/>
    <s v="STORES"/>
  </r>
  <r>
    <x v="1102"/>
    <d v="2005-10-27T00:00:00"/>
    <d v="2020-03-22T00:00:00"/>
    <n v="15"/>
    <m/>
    <s v="Princeton"/>
    <s v="Bakery"/>
    <s v="Baker"/>
    <n v="27"/>
    <s v="M"/>
    <s v="Male"/>
    <x v="2"/>
    <x v="0"/>
    <s v="STORES"/>
  </r>
  <r>
    <x v="1103"/>
    <d v="2005-12-12T00:00:00"/>
    <d v="2020-07-09T00:00:00"/>
    <n v="15"/>
    <m/>
    <s v="Cranbrook"/>
    <s v="Bakery"/>
    <s v="Baker"/>
    <n v="8"/>
    <s v="M"/>
    <s v="Male"/>
    <x v="1"/>
    <x v="0"/>
    <s v="STORES"/>
  </r>
  <r>
    <x v="1104"/>
    <d v="1996-05-25T00:00:00"/>
    <d v="2020-05-01T00:00:00"/>
    <n v="24"/>
    <m/>
    <s v="Victoria"/>
    <s v="Bakery"/>
    <s v="Baker"/>
    <n v="46"/>
    <s v="M"/>
    <s v="Male"/>
    <x v="1"/>
    <x v="0"/>
    <s v="STORES"/>
  </r>
  <r>
    <x v="1105"/>
    <d v="2014-07-05T00:00:00"/>
    <d v="2020-06-05T00:00:00"/>
    <n v="6"/>
    <m/>
    <s v="Fort Nelson"/>
    <s v="Dairy"/>
    <s v="Dairy Person"/>
    <n v="11"/>
    <s v="F"/>
    <s v="Female"/>
    <x v="2"/>
    <x v="0"/>
    <s v="STORES"/>
  </r>
  <r>
    <x v="1106"/>
    <d v="2006-01-27T00:00:00"/>
    <d v="2020-12-18T00:00:00"/>
    <n v="14"/>
    <m/>
    <s v="Vancouver"/>
    <s v="Bakery"/>
    <s v="Baker"/>
    <n v="43"/>
    <s v="F"/>
    <s v="Female"/>
    <x v="1"/>
    <x v="0"/>
    <s v="STORES"/>
  </r>
  <r>
    <x v="1107"/>
    <d v="2015-04-20T00:00:00"/>
    <d v="2020-05-25T00:00:00"/>
    <n v="5"/>
    <m/>
    <s v="West Vancouver"/>
    <s v="Dairy"/>
    <s v="Dairy Person"/>
    <n v="38"/>
    <s v="M"/>
    <s v="Male"/>
    <x v="1"/>
    <x v="0"/>
    <s v="STORES"/>
  </r>
  <r>
    <x v="1108"/>
    <d v="2003-05-25T00:00:00"/>
    <d v="2020-07-24T00:00:00"/>
    <n v="17"/>
    <m/>
    <s v="Kamloops"/>
    <s v="Dairy"/>
    <s v="Dairy Person"/>
    <n v="15"/>
    <s v="M"/>
    <s v="Male"/>
    <x v="1"/>
    <x v="0"/>
    <s v="STORES"/>
  </r>
  <r>
    <x v="1109"/>
    <d v="1990-08-12T00:00:00"/>
    <d v="2020-01-23T00:00:00"/>
    <n v="30"/>
    <m/>
    <s v="Grand Forks"/>
    <s v="Bakery"/>
    <s v="Baker"/>
    <n v="13"/>
    <s v="F"/>
    <s v="Female"/>
    <x v="2"/>
    <x v="0"/>
    <s v="STORES"/>
  </r>
  <r>
    <x v="1110"/>
    <d v="2012-01-07T00:00:00"/>
    <d v="2020-06-04T00:00:00"/>
    <n v="8"/>
    <m/>
    <s v="Grand Forks"/>
    <s v="Bakery"/>
    <s v="Baker"/>
    <n v="13"/>
    <s v="F"/>
    <s v="Female"/>
    <x v="2"/>
    <x v="0"/>
    <s v="STORES"/>
  </r>
  <r>
    <x v="1111"/>
    <d v="2012-02-10T00:00:00"/>
    <d v="2020-02-13T00:00:00"/>
    <n v="8"/>
    <m/>
    <s v="Grand Forks"/>
    <s v="Bakery"/>
    <s v="Baker"/>
    <n v="13"/>
    <s v="M"/>
    <s v="Male"/>
    <x v="2"/>
    <x v="0"/>
    <s v="STORES"/>
  </r>
  <r>
    <x v="1112"/>
    <d v="2001-09-19T00:00:00"/>
    <d v="2020-06-18T00:00:00"/>
    <n v="19"/>
    <m/>
    <s v="Burnaby"/>
    <s v="Dairy"/>
    <s v="Dairy Person"/>
    <n v="5"/>
    <s v="M"/>
    <s v="Male"/>
    <x v="1"/>
    <x v="0"/>
    <s v="STORES"/>
  </r>
  <r>
    <x v="1113"/>
    <d v="2005-10-21T00:00:00"/>
    <d v="2020-06-08T00:00:00"/>
    <n v="15"/>
    <m/>
    <s v="Haney"/>
    <s v="Customer Service"/>
    <s v="Cashier"/>
    <n v="14"/>
    <s v="M"/>
    <s v="Male"/>
    <x v="2"/>
    <x v="0"/>
    <s v="STORES"/>
  </r>
  <r>
    <x v="1114"/>
    <d v="2012-09-20T00:00:00"/>
    <d v="2020-10-06T00:00:00"/>
    <n v="8"/>
    <m/>
    <s v="Kelowna"/>
    <s v="Dairy"/>
    <s v="Dairy Person"/>
    <n v="16"/>
    <s v="F"/>
    <s v="Female"/>
    <x v="1"/>
    <x v="0"/>
    <s v="STORES"/>
  </r>
  <r>
    <x v="1115"/>
    <d v="1999-03-09T00:00:00"/>
    <d v="2020-01-23T00:00:00"/>
    <n v="21"/>
    <m/>
    <s v="Haney"/>
    <s v="Customer Service"/>
    <s v="Cashier"/>
    <n v="14"/>
    <s v="M"/>
    <s v="Male"/>
    <x v="2"/>
    <x v="0"/>
    <s v="STORES"/>
  </r>
  <r>
    <x v="1116"/>
    <d v="2005-09-05T00:00:00"/>
    <d v="2020-05-15T00:00:00"/>
    <n v="15"/>
    <m/>
    <s v="White Rock"/>
    <s v="Customer Service"/>
    <s v="Cashier"/>
    <n v="39"/>
    <s v="F"/>
    <s v="Female"/>
    <x v="2"/>
    <x v="0"/>
    <s v="STORES"/>
  </r>
  <r>
    <x v="1117"/>
    <d v="1996-03-25T00:00:00"/>
    <d v="2020-12-07T00:00:00"/>
    <n v="24"/>
    <m/>
    <s v="White Rock"/>
    <s v="Customer Service"/>
    <s v="Cashier"/>
    <n v="39"/>
    <s v="M"/>
    <s v="Male"/>
    <x v="2"/>
    <x v="0"/>
    <s v="STORES"/>
  </r>
  <r>
    <x v="1118"/>
    <d v="1999-12-16T00:00:00"/>
    <d v="2020-02-15T00:00:00"/>
    <n v="21"/>
    <m/>
    <s v="Grand Forks"/>
    <s v="Dairy"/>
    <s v="Dairy Person"/>
    <n v="13"/>
    <s v="M"/>
    <s v="Male"/>
    <x v="1"/>
    <x v="0"/>
    <s v="STORES"/>
  </r>
  <r>
    <x v="1119"/>
    <d v="1999-05-16T00:00:00"/>
    <d v="2020-07-21T00:00:00"/>
    <n v="21"/>
    <m/>
    <s v="New Westminister"/>
    <s v="Produce"/>
    <s v="Produce Clerk"/>
    <n v="20"/>
    <s v="M"/>
    <s v="Male"/>
    <x v="2"/>
    <x v="0"/>
    <s v="STORES"/>
  </r>
  <r>
    <x v="1120"/>
    <d v="1990-02-23T00:00:00"/>
    <d v="2020-01-26T00:00:00"/>
    <n v="30"/>
    <m/>
    <s v="Kamloops"/>
    <s v="Dairy"/>
    <s v="Dairy Person"/>
    <n v="15"/>
    <s v="F"/>
    <s v="Female"/>
    <x v="1"/>
    <x v="0"/>
    <s v="STORES"/>
  </r>
  <r>
    <x v="1121"/>
    <d v="1994-06-27T00:00:00"/>
    <d v="2020-04-07T00:00:00"/>
    <n v="26"/>
    <m/>
    <s v="Grand Forks"/>
    <s v="Dairy"/>
    <s v="Dairy Person"/>
    <n v="13"/>
    <s v="M"/>
    <s v="Male"/>
    <x v="2"/>
    <x v="0"/>
    <s v="STORES"/>
  </r>
  <r>
    <x v="1122"/>
    <d v="2003-07-29T00:00:00"/>
    <d v="2020-07-05T00:00:00"/>
    <n v="17"/>
    <m/>
    <s v="Dawson Creek"/>
    <s v="Customer Service"/>
    <s v="Cashier"/>
    <n v="9"/>
    <s v="M"/>
    <s v="Male"/>
    <x v="2"/>
    <x v="0"/>
    <s v="STORES"/>
  </r>
  <r>
    <x v="1123"/>
    <d v="2010-04-13T00:00:00"/>
    <d v="2020-04-25T00:00:00"/>
    <n v="10"/>
    <m/>
    <s v="Surrey"/>
    <s v="Dairy"/>
    <s v="Dairy Person"/>
    <n v="31"/>
    <s v="M"/>
    <s v="Male"/>
    <x v="1"/>
    <x v="0"/>
    <s v="STORES"/>
  </r>
  <r>
    <x v="1124"/>
    <d v="2004-06-05T00:00:00"/>
    <d v="2020-09-17T00:00:00"/>
    <n v="16"/>
    <m/>
    <s v="Quesnel"/>
    <s v="Customer Service"/>
    <s v="Cashier"/>
    <n v="28"/>
    <s v="M"/>
    <s v="Male"/>
    <x v="1"/>
    <x v="0"/>
    <s v="STORES"/>
  </r>
  <r>
    <x v="1125"/>
    <d v="2009-12-04T00:00:00"/>
    <d v="2020-05-31T00:00:00"/>
    <n v="11"/>
    <m/>
    <s v="Vancouver"/>
    <s v="Processed Foods"/>
    <s v="Shelf Stocker"/>
    <n v="43"/>
    <s v="F"/>
    <s v="Female"/>
    <x v="1"/>
    <x v="0"/>
    <s v="STORES"/>
  </r>
  <r>
    <x v="1126"/>
    <d v="2009-01-12T00:00:00"/>
    <d v="2020-01-09T00:00:00"/>
    <n v="11"/>
    <m/>
    <s v="Kelowna"/>
    <s v="Dairy"/>
    <s v="Dairy Person"/>
    <n v="16"/>
    <s v="F"/>
    <s v="Female"/>
    <x v="1"/>
    <x v="0"/>
    <s v="STORES"/>
  </r>
  <r>
    <x v="1127"/>
    <d v="1995-06-07T00:00:00"/>
    <d v="2020-03-30T00:00:00"/>
    <n v="25"/>
    <m/>
    <s v="Vancouver"/>
    <s v="Processed Foods"/>
    <s v="Shelf Stocker"/>
    <n v="43"/>
    <s v="M"/>
    <s v="Male"/>
    <x v="1"/>
    <x v="0"/>
    <s v="STORES"/>
  </r>
  <r>
    <x v="1128"/>
    <d v="2013-07-29T00:00:00"/>
    <d v="2020-11-28T00:00:00"/>
    <n v="7"/>
    <m/>
    <s v="Vancouver"/>
    <s v="Processed Foods"/>
    <s v="Shelf Stocker"/>
    <n v="43"/>
    <s v="F"/>
    <s v="Female"/>
    <x v="1"/>
    <x v="0"/>
    <s v="STORES"/>
  </r>
  <r>
    <x v="1129"/>
    <d v="2005-06-25T00:00:00"/>
    <d v="2020-02-26T00:00:00"/>
    <n v="15"/>
    <m/>
    <s v="Fort Nelson"/>
    <s v="Dairy"/>
    <s v="Dairy Person"/>
    <n v="11"/>
    <s v="F"/>
    <s v="Female"/>
    <x v="2"/>
    <x v="0"/>
    <s v="STORES"/>
  </r>
  <r>
    <x v="1130"/>
    <d v="2013-05-02T00:00:00"/>
    <d v="2020-11-16T00:00:00"/>
    <n v="7"/>
    <m/>
    <s v="Fort Nelson"/>
    <s v="Dairy"/>
    <s v="Dairy Person"/>
    <n v="11"/>
    <s v="F"/>
    <s v="Female"/>
    <x v="2"/>
    <x v="0"/>
    <s v="STORES"/>
  </r>
  <r>
    <x v="1131"/>
    <d v="1995-02-15T00:00:00"/>
    <d v="2020-12-27T00:00:00"/>
    <n v="25"/>
    <m/>
    <s v="New Westminister"/>
    <s v="Bakery"/>
    <s v="Baker"/>
    <n v="20"/>
    <s v="M"/>
    <s v="Male"/>
    <x v="2"/>
    <x v="0"/>
    <s v="STORES"/>
  </r>
  <r>
    <x v="1132"/>
    <d v="1999-02-10T00:00:00"/>
    <d v="2020-07-05T00:00:00"/>
    <n v="21"/>
    <m/>
    <s v="Kelowna"/>
    <s v="Dairy"/>
    <s v="Dairy Person"/>
    <n v="16"/>
    <s v="F"/>
    <s v="Female"/>
    <x v="1"/>
    <x v="0"/>
    <s v="STORES"/>
  </r>
  <r>
    <x v="1133"/>
    <d v="2014-08-13T00:00:00"/>
    <d v="2020-01-01T00:00:00"/>
    <n v="6"/>
    <m/>
    <s v="White Rock"/>
    <s v="Customer Service"/>
    <s v="Cashier"/>
    <n v="39"/>
    <s v="F"/>
    <s v="Female"/>
    <x v="2"/>
    <x v="0"/>
    <s v="STORES"/>
  </r>
  <r>
    <x v="1134"/>
    <d v="2006-05-23T00:00:00"/>
    <d v="2020-04-08T00:00:00"/>
    <n v="14"/>
    <m/>
    <s v="Fort St John"/>
    <s v="Bakery"/>
    <s v="Baker"/>
    <n v="12"/>
    <s v="M"/>
    <s v="Male"/>
    <x v="1"/>
    <x v="0"/>
    <s v="STORES"/>
  </r>
  <r>
    <x v="1135"/>
    <d v="2000-01-26T00:00:00"/>
    <d v="2020-06-02T00:00:00"/>
    <n v="20"/>
    <m/>
    <s v="Dawson Creek"/>
    <s v="Customer Service"/>
    <s v="Cashier"/>
    <n v="9"/>
    <s v="F"/>
    <s v="Female"/>
    <x v="2"/>
    <x v="0"/>
    <s v="STORES"/>
  </r>
  <r>
    <x v="1136"/>
    <d v="2009-06-29T00:00:00"/>
    <d v="2020-08-16T00:00:00"/>
    <n v="11"/>
    <m/>
    <s v="Cortes Island"/>
    <s v="Dairy"/>
    <s v="Dairy Person"/>
    <n v="7"/>
    <s v="F"/>
    <s v="Female"/>
    <x v="2"/>
    <x v="0"/>
    <s v="STORES"/>
  </r>
  <r>
    <x v="1137"/>
    <d v="2007-07-25T00:00:00"/>
    <d v="2020-07-21T00:00:00"/>
    <n v="13"/>
    <m/>
    <s v="New Westminster"/>
    <s v="Dairy"/>
    <s v="Dairy Person"/>
    <n v="21"/>
    <s v="M"/>
    <s v="Male"/>
    <x v="1"/>
    <x v="0"/>
    <s v="STORES"/>
  </r>
  <r>
    <x v="1138"/>
    <d v="2003-12-31T00:00:00"/>
    <d v="2020-10-18T00:00:00"/>
    <n v="17"/>
    <m/>
    <s v="White Rock"/>
    <s v="Customer Service"/>
    <s v="Cashier"/>
    <n v="39"/>
    <s v="F"/>
    <s v="Female"/>
    <x v="2"/>
    <x v="0"/>
    <s v="STORES"/>
  </r>
  <r>
    <x v="1139"/>
    <d v="1994-07-08T00:00:00"/>
    <d v="2020-10-17T00:00:00"/>
    <n v="26"/>
    <m/>
    <s v="Nelson"/>
    <s v="Bakery"/>
    <s v="Baker"/>
    <n v="19"/>
    <s v="M"/>
    <s v="Male"/>
    <x v="1"/>
    <x v="0"/>
    <s v="STORES"/>
  </r>
  <r>
    <x v="1140"/>
    <d v="2010-01-29T00:00:00"/>
    <d v="2020-02-10T00:00:00"/>
    <n v="10"/>
    <m/>
    <s v="Surrey"/>
    <s v="Dairy"/>
    <s v="Dairy Person"/>
    <n v="31"/>
    <s v="F"/>
    <s v="Female"/>
    <x v="1"/>
    <x v="0"/>
    <s v="STORES"/>
  </r>
  <r>
    <x v="1141"/>
    <d v="2001-03-24T00:00:00"/>
    <d v="2020-03-18T00:00:00"/>
    <n v="19"/>
    <m/>
    <s v="Fort Nelson"/>
    <s v="Dairy"/>
    <s v="Dairy Person"/>
    <n v="11"/>
    <s v="F"/>
    <s v="Female"/>
    <x v="2"/>
    <x v="0"/>
    <s v="STORES"/>
  </r>
  <r>
    <x v="1142"/>
    <d v="1991-12-19T00:00:00"/>
    <d v="2020-12-11T00:00:00"/>
    <n v="29"/>
    <m/>
    <s v="Victoria"/>
    <s v="Bakery"/>
    <s v="Baker"/>
    <n v="46"/>
    <s v="M"/>
    <s v="Male"/>
    <x v="1"/>
    <x v="0"/>
    <s v="STORES"/>
  </r>
  <r>
    <x v="1143"/>
    <d v="2004-05-22T00:00:00"/>
    <d v="2020-11-06T00:00:00"/>
    <n v="16"/>
    <m/>
    <s v="Vancouver"/>
    <s v="Processed Foods"/>
    <s v="Shelf Stocker"/>
    <n v="43"/>
    <s v="M"/>
    <s v="Male"/>
    <x v="1"/>
    <x v="0"/>
    <s v="STORES"/>
  </r>
  <r>
    <x v="1144"/>
    <d v="2001-09-17T00:00:00"/>
    <d v="2020-09-06T00:00:00"/>
    <n v="19"/>
    <m/>
    <s v="Victoria"/>
    <s v="Bakery"/>
    <s v="Baker"/>
    <n v="46"/>
    <s v="M"/>
    <s v="Male"/>
    <x v="1"/>
    <x v="0"/>
    <s v="STORES"/>
  </r>
  <r>
    <x v="1145"/>
    <d v="1991-12-08T00:00:00"/>
    <d v="2020-08-26T00:00:00"/>
    <n v="29"/>
    <m/>
    <s v="Nanaimo"/>
    <s v="Processed Foods"/>
    <s v="Shelf Stocker"/>
    <n v="18"/>
    <s v="M"/>
    <s v="Male"/>
    <x v="1"/>
    <x v="0"/>
    <s v="STORES"/>
  </r>
  <r>
    <x v="1146"/>
    <d v="1998-09-26T00:00:00"/>
    <d v="2020-07-28T00:00:00"/>
    <n v="22"/>
    <m/>
    <s v="Dawson Creek"/>
    <s v="Customer Service"/>
    <s v="Cashier"/>
    <n v="9"/>
    <s v="M"/>
    <s v="Male"/>
    <x v="2"/>
    <x v="0"/>
    <s v="STORES"/>
  </r>
  <r>
    <x v="1147"/>
    <d v="1996-02-03T00:00:00"/>
    <d v="2020-12-04T00:00:00"/>
    <n v="24"/>
    <m/>
    <s v="Haney"/>
    <s v="Customer Service"/>
    <s v="Cashier"/>
    <n v="14"/>
    <s v="F"/>
    <s v="Female"/>
    <x v="2"/>
    <x v="0"/>
    <s v="STORES"/>
  </r>
  <r>
    <x v="1148"/>
    <d v="2000-01-24T00:00:00"/>
    <d v="2020-10-23T00:00:00"/>
    <n v="20"/>
    <m/>
    <s v="Haney"/>
    <s v="Customer Service"/>
    <s v="Cashier"/>
    <n v="14"/>
    <s v="F"/>
    <s v="Female"/>
    <x v="2"/>
    <x v="0"/>
    <s v="STORES"/>
  </r>
  <r>
    <x v="1149"/>
    <d v="2013-05-22T00:00:00"/>
    <d v="2020-10-22T00:00:00"/>
    <n v="7"/>
    <m/>
    <s v="Fort St John"/>
    <s v="Dairy"/>
    <s v="Dairy Person"/>
    <n v="12"/>
    <s v="F"/>
    <s v="Female"/>
    <x v="1"/>
    <x v="0"/>
    <s v="STORES"/>
  </r>
  <r>
    <x v="1150"/>
    <d v="2011-03-16T00:00:00"/>
    <d v="2020-08-21T00:00:00"/>
    <n v="9"/>
    <m/>
    <s v="Vancouver"/>
    <s v="Processed Foods"/>
    <s v="Shelf Stocker"/>
    <n v="43"/>
    <s v="M"/>
    <s v="Male"/>
    <x v="1"/>
    <x v="0"/>
    <s v="STORES"/>
  </r>
  <r>
    <x v="1151"/>
    <d v="1996-09-30T00:00:00"/>
    <d v="2020-05-17T00:00:00"/>
    <n v="24"/>
    <m/>
    <s v="New Westminister"/>
    <s v="Bakery"/>
    <s v="Baker"/>
    <n v="20"/>
    <s v="M"/>
    <s v="Male"/>
    <x v="1"/>
    <x v="0"/>
    <s v="STORES"/>
  </r>
  <r>
    <x v="1152"/>
    <d v="2003-09-18T00:00:00"/>
    <d v="2020-03-03T00:00:00"/>
    <n v="17"/>
    <m/>
    <s v="New Westminster"/>
    <s v="Dairy"/>
    <s v="Dairy Person"/>
    <n v="21"/>
    <s v="F"/>
    <s v="Female"/>
    <x v="1"/>
    <x v="0"/>
    <s v="STORES"/>
  </r>
  <r>
    <x v="1153"/>
    <d v="1990-05-14T00:00:00"/>
    <d v="2020-10-19T00:00:00"/>
    <n v="30"/>
    <m/>
    <s v="Vancouver"/>
    <s v="Processed Foods"/>
    <s v="Shelf Stocker"/>
    <n v="43"/>
    <s v="F"/>
    <s v="Female"/>
    <x v="1"/>
    <x v="0"/>
    <s v="STORES"/>
  </r>
  <r>
    <x v="1154"/>
    <d v="1999-05-31T00:00:00"/>
    <d v="2020-02-22T00:00:00"/>
    <n v="21"/>
    <m/>
    <s v="Kelowna"/>
    <s v="Dairy"/>
    <s v="Dairy Person"/>
    <n v="16"/>
    <s v="F"/>
    <s v="Female"/>
    <x v="1"/>
    <x v="0"/>
    <s v="STORES"/>
  </r>
  <r>
    <x v="1155"/>
    <d v="2001-02-01T00:00:00"/>
    <d v="2020-07-01T00:00:00"/>
    <n v="19"/>
    <m/>
    <s v="Burnaby"/>
    <s v="Dairy"/>
    <s v="Dairy Person"/>
    <n v="5"/>
    <s v="F"/>
    <s v="Female"/>
    <x v="1"/>
    <x v="0"/>
    <s v="STORES"/>
  </r>
  <r>
    <x v="1156"/>
    <d v="2009-09-20T00:00:00"/>
    <d v="2020-10-27T00:00:00"/>
    <n v="11"/>
    <m/>
    <s v="Vancouver"/>
    <s v="Processed Foods"/>
    <s v="Shelf Stocker"/>
    <n v="43"/>
    <s v="F"/>
    <s v="Female"/>
    <x v="1"/>
    <x v="0"/>
    <s v="STORES"/>
  </r>
  <r>
    <x v="1157"/>
    <d v="2012-12-06T00:00:00"/>
    <d v="2020-07-14T00:00:00"/>
    <n v="8"/>
    <m/>
    <s v="Abbotsford"/>
    <s v="Bakery"/>
    <s v="Baker"/>
    <n v="1"/>
    <s v="F"/>
    <s v="Female"/>
    <x v="1"/>
    <x v="0"/>
    <s v="STORES"/>
  </r>
  <r>
    <x v="1158"/>
    <d v="2007-11-29T00:00:00"/>
    <d v="2020-04-04T00:00:00"/>
    <n v="13"/>
    <m/>
    <s v="Prince George"/>
    <s v="Customer Service"/>
    <s v="Cashier"/>
    <n v="26"/>
    <s v="F"/>
    <s v="Female"/>
    <x v="1"/>
    <x v="0"/>
    <s v="STORES"/>
  </r>
  <r>
    <x v="1159"/>
    <d v="1996-03-11T00:00:00"/>
    <d v="2020-01-02T00:00:00"/>
    <n v="24"/>
    <m/>
    <s v="Victoria"/>
    <s v="Dairy"/>
    <s v="Dairy Person"/>
    <n v="46"/>
    <s v="M"/>
    <s v="Male"/>
    <x v="1"/>
    <x v="0"/>
    <s v="STORES"/>
  </r>
  <r>
    <x v="1160"/>
    <d v="1991-02-20T00:00:00"/>
    <d v="2020-01-03T00:00:00"/>
    <n v="29"/>
    <m/>
    <s v="Fort Nelson"/>
    <s v="Processed Foods"/>
    <s v="Shelf Stocker"/>
    <n v="11"/>
    <s v="F"/>
    <s v="Female"/>
    <x v="2"/>
    <x v="0"/>
    <s v="STORES"/>
  </r>
  <r>
    <x v="1161"/>
    <d v="2006-10-25T00:00:00"/>
    <d v="2020-11-26T00:00:00"/>
    <n v="14"/>
    <m/>
    <s v="Prince George"/>
    <s v="Customer Service"/>
    <s v="Cashier"/>
    <n v="26"/>
    <s v="F"/>
    <s v="Female"/>
    <x v="1"/>
    <x v="0"/>
    <s v="STORES"/>
  </r>
  <r>
    <x v="1162"/>
    <d v="1993-08-19T00:00:00"/>
    <d v="2020-08-20T00:00:00"/>
    <n v="27"/>
    <m/>
    <s v="Victoria"/>
    <s v="Dairy"/>
    <s v="Dairy Person"/>
    <n v="46"/>
    <s v="F"/>
    <s v="Female"/>
    <x v="1"/>
    <x v="0"/>
    <s v="STORES"/>
  </r>
  <r>
    <x v="1163"/>
    <d v="2012-06-22T00:00:00"/>
    <d v="2020-06-24T00:00:00"/>
    <n v="8"/>
    <m/>
    <s v="Fort Nelson"/>
    <s v="Processed Foods"/>
    <s v="Shelf Stocker"/>
    <n v="11"/>
    <s v="F"/>
    <s v="Female"/>
    <x v="2"/>
    <x v="0"/>
    <s v="STORES"/>
  </r>
  <r>
    <x v="1164"/>
    <d v="2002-03-16T00:00:00"/>
    <d v="2020-08-30T00:00:00"/>
    <n v="18"/>
    <m/>
    <s v="Richmond"/>
    <s v="Dairy"/>
    <s v="Dairy Person"/>
    <n v="29"/>
    <s v="M"/>
    <s v="Male"/>
    <x v="1"/>
    <x v="0"/>
    <s v="STORES"/>
  </r>
  <r>
    <x v="1165"/>
    <d v="1992-03-01T00:00:00"/>
    <d v="2020-03-16T00:00:00"/>
    <n v="28"/>
    <m/>
    <s v="Haney"/>
    <s v="Customer Service"/>
    <s v="Cashier"/>
    <n v="14"/>
    <s v="F"/>
    <s v="Female"/>
    <x v="2"/>
    <x v="0"/>
    <s v="STORES"/>
  </r>
  <r>
    <x v="1166"/>
    <d v="2011-01-19T00:00:00"/>
    <d v="2020-08-31T00:00:00"/>
    <n v="9"/>
    <m/>
    <s v="New Westminster"/>
    <s v="Dairy"/>
    <s v="Dairy Person"/>
    <n v="21"/>
    <s v="M"/>
    <s v="Male"/>
    <x v="1"/>
    <x v="0"/>
    <s v="STORES"/>
  </r>
  <r>
    <x v="1167"/>
    <d v="1994-03-12T00:00:00"/>
    <d v="2020-03-03T00:00:00"/>
    <n v="26"/>
    <m/>
    <s v="Vancouver"/>
    <s v="Customer Service"/>
    <s v="Cashier"/>
    <n v="43"/>
    <s v="F"/>
    <s v="Female"/>
    <x v="1"/>
    <x v="0"/>
    <s v="STORES"/>
  </r>
  <r>
    <x v="1168"/>
    <d v="1997-05-10T00:00:00"/>
    <d v="2020-12-02T00:00:00"/>
    <n v="23"/>
    <m/>
    <s v="New Westminster"/>
    <s v="Dairy"/>
    <s v="Dairy Person"/>
    <n v="21"/>
    <s v="F"/>
    <s v="Female"/>
    <x v="1"/>
    <x v="0"/>
    <s v="STORES"/>
  </r>
  <r>
    <x v="1169"/>
    <d v="2000-08-20T00:00:00"/>
    <d v="2020-10-26T00:00:00"/>
    <n v="20"/>
    <m/>
    <s v="Quesnel"/>
    <s v="Customer Service"/>
    <s v="Cashier"/>
    <n v="28"/>
    <s v="F"/>
    <s v="Female"/>
    <x v="1"/>
    <x v="0"/>
    <s v="STORES"/>
  </r>
  <r>
    <x v="1170"/>
    <d v="1996-02-24T00:00:00"/>
    <d v="2020-09-01T00:00:00"/>
    <n v="24"/>
    <m/>
    <s v="Quesnel"/>
    <s v="Customer Service"/>
    <s v="Cashier"/>
    <n v="28"/>
    <s v="F"/>
    <s v="Female"/>
    <x v="1"/>
    <x v="0"/>
    <s v="STORES"/>
  </r>
  <r>
    <x v="1171"/>
    <d v="2005-09-06T00:00:00"/>
    <d v="2020-09-17T00:00:00"/>
    <n v="15"/>
    <m/>
    <s v="Vancouver"/>
    <s v="Customer Service"/>
    <s v="Cashier"/>
    <n v="43"/>
    <s v="F"/>
    <s v="Female"/>
    <x v="1"/>
    <x v="0"/>
    <s v="STORES"/>
  </r>
  <r>
    <x v="1172"/>
    <d v="1991-03-09T00:00:00"/>
    <d v="2020-05-09T00:00:00"/>
    <n v="29"/>
    <m/>
    <s v="Nanaimo"/>
    <s v="Processed Foods"/>
    <s v="Shelf Stocker"/>
    <n v="18"/>
    <s v="F"/>
    <s v="Female"/>
    <x v="1"/>
    <x v="0"/>
    <s v="STORES"/>
  </r>
  <r>
    <x v="1173"/>
    <d v="1998-12-28T00:00:00"/>
    <d v="2020-10-07T00:00:00"/>
    <n v="22"/>
    <m/>
    <s v="Kelowna"/>
    <s v="Dairy"/>
    <s v="Dairy Person"/>
    <n v="16"/>
    <s v="F"/>
    <s v="Female"/>
    <x v="1"/>
    <x v="0"/>
    <s v="STORES"/>
  </r>
  <r>
    <x v="1174"/>
    <d v="2009-09-08T00:00:00"/>
    <d v="2020-01-11T00:00:00"/>
    <n v="11"/>
    <m/>
    <s v="Victoria"/>
    <s v="Dairy"/>
    <s v="Dairy Person"/>
    <n v="46"/>
    <s v="F"/>
    <s v="Female"/>
    <x v="1"/>
    <x v="0"/>
    <s v="STORES"/>
  </r>
  <r>
    <x v="1175"/>
    <d v="1995-09-15T00:00:00"/>
    <d v="2020-07-29T00:00:00"/>
    <n v="25"/>
    <m/>
    <s v="Nanaimo"/>
    <s v="Processed Foods"/>
    <s v="Shelf Stocker"/>
    <n v="18"/>
    <s v="F"/>
    <s v="Female"/>
    <x v="1"/>
    <x v="0"/>
    <s v="STORES"/>
  </r>
  <r>
    <x v="1176"/>
    <d v="2001-09-28T00:00:00"/>
    <d v="2020-10-24T00:00:00"/>
    <n v="19"/>
    <m/>
    <s v="Fort Nelson"/>
    <s v="Processed Foods"/>
    <s v="Shelf Stocker"/>
    <n v="11"/>
    <s v="F"/>
    <s v="Female"/>
    <x v="2"/>
    <x v="0"/>
    <s v="STORES"/>
  </r>
  <r>
    <x v="1177"/>
    <d v="1996-11-29T00:00:00"/>
    <d v="2020-08-27T00:00:00"/>
    <n v="24"/>
    <m/>
    <s v="Vancouver"/>
    <s v="Customer Service"/>
    <s v="Cashier"/>
    <n v="43"/>
    <s v="F"/>
    <s v="Female"/>
    <x v="1"/>
    <x v="0"/>
    <s v="STORES"/>
  </r>
  <r>
    <x v="1178"/>
    <d v="2001-03-10T00:00:00"/>
    <d v="2020-12-12T00:00:00"/>
    <n v="19"/>
    <m/>
    <s v="New Westminster"/>
    <s v="Dairy"/>
    <s v="Dairy Person"/>
    <n v="21"/>
    <s v="F"/>
    <s v="Female"/>
    <x v="1"/>
    <x v="0"/>
    <s v="STORES"/>
  </r>
  <r>
    <x v="1179"/>
    <d v="1993-02-13T00:00:00"/>
    <d v="2020-08-23T00:00:00"/>
    <n v="27"/>
    <m/>
    <s v="Vernon"/>
    <s v="Customer Service"/>
    <s v="Cashier"/>
    <n v="36"/>
    <s v="F"/>
    <s v="Female"/>
    <x v="1"/>
    <x v="0"/>
    <s v="STORES"/>
  </r>
  <r>
    <x v="1180"/>
    <d v="1996-12-07T00:00:00"/>
    <d v="2020-04-29T00:00:00"/>
    <n v="24"/>
    <m/>
    <s v="Fort Nelson"/>
    <s v="Processed Foods"/>
    <s v="Shelf Stocker"/>
    <n v="11"/>
    <s v="F"/>
    <s v="Female"/>
    <x v="2"/>
    <x v="0"/>
    <s v="STORES"/>
  </r>
  <r>
    <x v="1181"/>
    <d v="2000-05-08T00:00:00"/>
    <d v="2020-11-30T00:00:00"/>
    <n v="20"/>
    <m/>
    <s v="Vancouver"/>
    <s v="Customer Service"/>
    <s v="Cashier"/>
    <n v="43"/>
    <s v="M"/>
    <s v="Male"/>
    <x v="1"/>
    <x v="0"/>
    <s v="STORES"/>
  </r>
  <r>
    <x v="1182"/>
    <d v="2001-08-02T00:00:00"/>
    <d v="2020-03-02T00:00:00"/>
    <n v="19"/>
    <m/>
    <s v="Kelowna"/>
    <s v="Dairy"/>
    <s v="Dairy Person"/>
    <n v="16"/>
    <s v="F"/>
    <s v="Female"/>
    <x v="1"/>
    <x v="0"/>
    <s v="STORES"/>
  </r>
  <r>
    <x v="1183"/>
    <d v="1995-11-06T00:00:00"/>
    <d v="2020-01-24T00:00:00"/>
    <n v="25"/>
    <m/>
    <s v="Nelson"/>
    <s v="Bakery"/>
    <s v="Baker"/>
    <n v="19"/>
    <s v="F"/>
    <s v="Female"/>
    <x v="1"/>
    <x v="0"/>
    <s v="STORES"/>
  </r>
  <r>
    <x v="1184"/>
    <d v="1998-01-27T00:00:00"/>
    <d v="2020-05-08T00:00:00"/>
    <n v="22"/>
    <m/>
    <s v="Surrey"/>
    <s v="Processed Foods"/>
    <s v="Shelf Stocker"/>
    <n v="31"/>
    <s v="F"/>
    <s v="Female"/>
    <x v="1"/>
    <x v="0"/>
    <s v="STORES"/>
  </r>
  <r>
    <x v="1185"/>
    <d v="2015-08-07T00:00:00"/>
    <d v="2020-11-28T00:00:00"/>
    <n v="5"/>
    <m/>
    <s v="Kamloops"/>
    <s v="Dairy"/>
    <s v="Dairy Person"/>
    <n v="15"/>
    <s v="F"/>
    <s v="Female"/>
    <x v="1"/>
    <x v="0"/>
    <s v="STORES"/>
  </r>
  <r>
    <x v="1186"/>
    <d v="1994-09-09T00:00:00"/>
    <d v="2020-06-22T00:00:00"/>
    <n v="26"/>
    <m/>
    <s v="Langley"/>
    <s v="Processed Foods"/>
    <s v="Shelf Stocker"/>
    <n v="17"/>
    <s v="F"/>
    <s v="Female"/>
    <x v="1"/>
    <x v="0"/>
    <s v="STORES"/>
  </r>
  <r>
    <x v="1187"/>
    <d v="2000-12-14T00:00:00"/>
    <d v="2020-03-30T00:00:00"/>
    <n v="20"/>
    <m/>
    <s v="New Westminister"/>
    <s v="Bakery"/>
    <s v="Baker"/>
    <n v="20"/>
    <s v="M"/>
    <s v="Male"/>
    <x v="2"/>
    <x v="0"/>
    <s v="STORES"/>
  </r>
  <r>
    <x v="1188"/>
    <d v="1997-12-12T00:00:00"/>
    <d v="2020-01-17T00:00:00"/>
    <n v="23"/>
    <m/>
    <s v="White Rock"/>
    <s v="Customer Service"/>
    <s v="Cashier"/>
    <n v="39"/>
    <s v="F"/>
    <s v="Female"/>
    <x v="2"/>
    <x v="0"/>
    <s v="STORES"/>
  </r>
  <r>
    <x v="1189"/>
    <d v="2001-03-11T00:00:00"/>
    <d v="2020-12-30T00:00:00"/>
    <n v="19"/>
    <m/>
    <s v="Prince George"/>
    <s v="Customer Service"/>
    <s v="Cashier"/>
    <n v="26"/>
    <s v="F"/>
    <s v="Female"/>
    <x v="1"/>
    <x v="0"/>
    <s v="STORES"/>
  </r>
  <r>
    <x v="1190"/>
    <d v="1998-05-11T00:00:00"/>
    <d v="2020-06-02T00:00:00"/>
    <n v="22"/>
    <m/>
    <s v="Abbotsford"/>
    <s v="Bakery"/>
    <s v="Baker"/>
    <n v="1"/>
    <s v="F"/>
    <s v="Female"/>
    <x v="1"/>
    <x v="0"/>
    <s v="STORES"/>
  </r>
  <r>
    <x v="1191"/>
    <d v="1990-11-07T00:00:00"/>
    <d v="2020-08-25T00:00:00"/>
    <n v="30"/>
    <m/>
    <s v="Haney"/>
    <s v="Customer Service"/>
    <s v="Cashier"/>
    <n v="14"/>
    <s v="M"/>
    <s v="Male"/>
    <x v="2"/>
    <x v="0"/>
    <s v="STORES"/>
  </r>
  <r>
    <x v="1192"/>
    <d v="2008-04-03T00:00:00"/>
    <d v="2020-03-01T00:00:00"/>
    <n v="12"/>
    <m/>
    <s v="Kamloops"/>
    <s v="Processed Foods"/>
    <s v="Shelf Stocker"/>
    <n v="15"/>
    <s v="F"/>
    <s v="Female"/>
    <x v="1"/>
    <x v="0"/>
    <s v="STORES"/>
  </r>
  <r>
    <x v="1193"/>
    <d v="2005-08-25T00:00:00"/>
    <d v="2020-01-21T00:00:00"/>
    <n v="15"/>
    <m/>
    <s v="Prince George"/>
    <s v="Customer Service"/>
    <s v="Cashier"/>
    <n v="26"/>
    <s v="F"/>
    <s v="Female"/>
    <x v="1"/>
    <x v="0"/>
    <s v="STORES"/>
  </r>
  <r>
    <x v="1194"/>
    <d v="2005-07-04T00:00:00"/>
    <d v="2020-09-17T00:00:00"/>
    <n v="15"/>
    <m/>
    <s v="New Westminister"/>
    <s v="Bakery"/>
    <s v="Baker"/>
    <n v="20"/>
    <s v="F"/>
    <s v="Female"/>
    <x v="2"/>
    <x v="0"/>
    <s v="STORES"/>
  </r>
  <r>
    <x v="1195"/>
    <d v="1991-02-17T00:00:00"/>
    <d v="2020-05-23T00:00:00"/>
    <n v="29"/>
    <m/>
    <s v="Valemount"/>
    <s v="Dairy"/>
    <s v="Dairy Person"/>
    <n v="34"/>
    <s v="M"/>
    <s v="Male"/>
    <x v="2"/>
    <x v="0"/>
    <s v="STORES"/>
  </r>
  <r>
    <x v="1196"/>
    <d v="1998-12-23T00:00:00"/>
    <d v="2020-02-28T00:00:00"/>
    <n v="22"/>
    <m/>
    <s v="Burnaby"/>
    <s v="Dairy"/>
    <s v="Dairy Person"/>
    <n v="5"/>
    <s v="F"/>
    <s v="Female"/>
    <x v="1"/>
    <x v="0"/>
    <s v="STORES"/>
  </r>
  <r>
    <x v="1197"/>
    <d v="2002-07-06T00:00:00"/>
    <d v="2020-08-18T00:00:00"/>
    <n v="18"/>
    <m/>
    <s v="Vancouver"/>
    <s v="Customer Service"/>
    <s v="Cashier"/>
    <n v="43"/>
    <s v="F"/>
    <s v="Female"/>
    <x v="1"/>
    <x v="0"/>
    <s v="STORES"/>
  </r>
  <r>
    <x v="1198"/>
    <d v="2011-05-07T00:00:00"/>
    <d v="2020-09-22T00:00:00"/>
    <n v="9"/>
    <m/>
    <s v="Prince George"/>
    <s v="Customer Service"/>
    <s v="Cashier"/>
    <n v="26"/>
    <s v="M"/>
    <s v="Male"/>
    <x v="1"/>
    <x v="0"/>
    <s v="STORES"/>
  </r>
  <r>
    <x v="1199"/>
    <d v="2003-12-24T00:00:00"/>
    <d v="2020-06-26T00:00:00"/>
    <n v="17"/>
    <m/>
    <s v="Vancouver"/>
    <s v="Customer Service"/>
    <s v="Cashier"/>
    <n v="43"/>
    <s v="M"/>
    <s v="Male"/>
    <x v="1"/>
    <x v="0"/>
    <s v="STORES"/>
  </r>
  <r>
    <x v="1200"/>
    <d v="1997-08-11T00:00:00"/>
    <d v="2020-02-18T00:00:00"/>
    <n v="23"/>
    <m/>
    <s v="Quesnel"/>
    <s v="Customer Service"/>
    <s v="Cashier"/>
    <n v="28"/>
    <s v="M"/>
    <s v="Male"/>
    <x v="1"/>
    <x v="0"/>
    <s v="STORES"/>
  </r>
  <r>
    <x v="1201"/>
    <d v="2012-08-18T00:00:00"/>
    <d v="2020-11-10T00:00:00"/>
    <n v="8"/>
    <m/>
    <s v="Victoria"/>
    <s v="Dairy"/>
    <s v="Dairy Person"/>
    <n v="46"/>
    <s v="F"/>
    <s v="Female"/>
    <x v="1"/>
    <x v="0"/>
    <s v="STORES"/>
  </r>
  <r>
    <x v="1202"/>
    <d v="1998-05-07T00:00:00"/>
    <d v="2020-05-05T00:00:00"/>
    <n v="22"/>
    <m/>
    <s v="Trail"/>
    <s v="Dairy"/>
    <s v="Dairy Person"/>
    <n v="33"/>
    <s v="F"/>
    <s v="Female"/>
    <x v="1"/>
    <x v="0"/>
    <s v="STORES"/>
  </r>
  <r>
    <x v="1203"/>
    <d v="2004-05-05T00:00:00"/>
    <d v="2020-07-10T00:00:00"/>
    <n v="16"/>
    <m/>
    <s v="Kamloops"/>
    <s v="Processed Foods"/>
    <s v="Shelf Stocker"/>
    <n v="15"/>
    <s v="F"/>
    <s v="Female"/>
    <x v="1"/>
    <x v="0"/>
    <s v="STORES"/>
  </r>
  <r>
    <x v="1204"/>
    <d v="1996-07-08T00:00:00"/>
    <d v="2020-01-15T00:00:00"/>
    <n v="24"/>
    <m/>
    <s v="Prince George"/>
    <s v="Customer Service"/>
    <s v="Cashier"/>
    <n v="26"/>
    <s v="F"/>
    <s v="Female"/>
    <x v="1"/>
    <x v="0"/>
    <s v="STORES"/>
  </r>
  <r>
    <x v="1205"/>
    <d v="2007-10-24T00:00:00"/>
    <d v="2020-06-17T00:00:00"/>
    <n v="13"/>
    <m/>
    <s v="Trail"/>
    <s v="Dairy"/>
    <s v="Dairy Person"/>
    <n v="33"/>
    <s v="F"/>
    <s v="Female"/>
    <x v="1"/>
    <x v="0"/>
    <s v="STORES"/>
  </r>
  <r>
    <x v="1206"/>
    <d v="1991-09-10T00:00:00"/>
    <d v="2020-04-24T00:00:00"/>
    <n v="29"/>
    <m/>
    <s v="Port Coquitlam"/>
    <s v="Customer Service"/>
    <s v="Cashier"/>
    <n v="25"/>
    <s v="F"/>
    <s v="Female"/>
    <x v="1"/>
    <x v="0"/>
    <s v="STORES"/>
  </r>
  <r>
    <x v="1207"/>
    <d v="2008-11-14T00:00:00"/>
    <d v="2020-03-06T00:00:00"/>
    <n v="12"/>
    <m/>
    <s v="New Westminster"/>
    <s v="Dairy"/>
    <s v="Dairy Person"/>
    <n v="21"/>
    <s v="F"/>
    <s v="Female"/>
    <x v="1"/>
    <x v="0"/>
    <s v="STORES"/>
  </r>
  <r>
    <x v="1208"/>
    <d v="1995-10-09T00:00:00"/>
    <d v="2020-07-26T00:00:00"/>
    <n v="25"/>
    <m/>
    <s v="Langley"/>
    <s v="Processed Foods"/>
    <s v="Shelf Stocker"/>
    <n v="17"/>
    <s v="F"/>
    <s v="Female"/>
    <x v="1"/>
    <x v="0"/>
    <s v="STORES"/>
  </r>
  <r>
    <x v="1209"/>
    <d v="2014-04-15T00:00:00"/>
    <d v="2020-09-17T00:00:00"/>
    <n v="6"/>
    <m/>
    <s v="Chilliwack"/>
    <s v="Processed Foods"/>
    <s v="Shelf Stocker"/>
    <n v="6"/>
    <s v="F"/>
    <s v="Female"/>
    <x v="1"/>
    <x v="0"/>
    <s v="STORES"/>
  </r>
  <r>
    <x v="1210"/>
    <d v="2013-03-11T00:00:00"/>
    <d v="2020-08-04T00:00:00"/>
    <n v="7"/>
    <m/>
    <s v="Vancouver"/>
    <s v="Customer Service"/>
    <s v="Cashier"/>
    <n v="43"/>
    <s v="F"/>
    <s v="Female"/>
    <x v="1"/>
    <x v="0"/>
    <s v="STORES"/>
  </r>
  <r>
    <x v="1211"/>
    <d v="2012-12-28T00:00:00"/>
    <d v="2020-09-24T00:00:00"/>
    <n v="8"/>
    <m/>
    <s v="Nanaimo"/>
    <s v="Processed Foods"/>
    <s v="Shelf Stocker"/>
    <n v="18"/>
    <s v="F"/>
    <s v="Female"/>
    <x v="1"/>
    <x v="0"/>
    <s v="STORES"/>
  </r>
  <r>
    <x v="1212"/>
    <d v="1995-06-08T00:00:00"/>
    <d v="2020-04-29T00:00:00"/>
    <n v="25"/>
    <m/>
    <s v="Williams Lake"/>
    <s v="Processed Foods"/>
    <s v="Shelf Stocker"/>
    <n v="40"/>
    <s v="F"/>
    <s v="Female"/>
    <x v="1"/>
    <x v="0"/>
    <s v="STORES"/>
  </r>
  <r>
    <x v="1213"/>
    <d v="1999-10-03T00:00:00"/>
    <d v="2020-04-24T00:00:00"/>
    <n v="21"/>
    <m/>
    <s v="Victoria"/>
    <s v="Dairy"/>
    <s v="Dairy Person"/>
    <n v="46"/>
    <s v="F"/>
    <s v="Female"/>
    <x v="1"/>
    <x v="0"/>
    <s v="STORES"/>
  </r>
  <r>
    <x v="1214"/>
    <d v="2015-11-08T00:00:00"/>
    <d v="2020-08-10T00:00:00"/>
    <n v="5"/>
    <m/>
    <s v="Trail"/>
    <s v="Processed Foods"/>
    <s v="Shelf Stocker"/>
    <n v="33"/>
    <s v="F"/>
    <s v="Female"/>
    <x v="1"/>
    <x v="0"/>
    <s v="STORES"/>
  </r>
  <r>
    <x v="1215"/>
    <d v="2010-10-21T00:00:00"/>
    <d v="2020-05-11T00:00:00"/>
    <n v="10"/>
    <m/>
    <s v="Burnaby"/>
    <s v="Dairy"/>
    <s v="Dairy Person"/>
    <n v="5"/>
    <s v="F"/>
    <s v="Female"/>
    <x v="1"/>
    <x v="0"/>
    <s v="STORES"/>
  </r>
  <r>
    <x v="1216"/>
    <d v="1999-11-28T00:00:00"/>
    <d v="2020-11-08T00:00:00"/>
    <n v="21"/>
    <m/>
    <s v="Fort Nelson"/>
    <s v="Processed Foods"/>
    <s v="Shelf Stocker"/>
    <n v="11"/>
    <s v="F"/>
    <s v="Female"/>
    <x v="2"/>
    <x v="0"/>
    <s v="STORES"/>
  </r>
  <r>
    <x v="1217"/>
    <d v="2001-07-25T00:00:00"/>
    <d v="2020-05-22T00:00:00"/>
    <n v="19"/>
    <m/>
    <s v="Valemount"/>
    <s v="Dairy"/>
    <s v="Dairy Person"/>
    <n v="34"/>
    <s v="M"/>
    <s v="Male"/>
    <x v="2"/>
    <x v="0"/>
    <s v="STORES"/>
  </r>
  <r>
    <x v="1218"/>
    <d v="2015-05-05T00:00:00"/>
    <d v="2020-05-14T00:00:00"/>
    <n v="5"/>
    <m/>
    <s v="Richmond"/>
    <s v="Processed Foods"/>
    <s v="Shelf Stocker"/>
    <n v="29"/>
    <s v="F"/>
    <s v="Female"/>
    <x v="1"/>
    <x v="0"/>
    <s v="STORES"/>
  </r>
  <r>
    <x v="1219"/>
    <d v="2014-12-23T00:00:00"/>
    <d v="2020-10-25T00:00:00"/>
    <n v="6"/>
    <m/>
    <s v="Victoria"/>
    <s v="Dairy"/>
    <s v="Dairy Person"/>
    <n v="46"/>
    <s v="F"/>
    <s v="Female"/>
    <x v="1"/>
    <x v="0"/>
    <s v="STORES"/>
  </r>
  <r>
    <x v="1220"/>
    <d v="2008-05-11T00:00:00"/>
    <d v="2020-12-10T00:00:00"/>
    <n v="12"/>
    <m/>
    <s v="Victoria"/>
    <s v="Dairy"/>
    <s v="Dairy Person"/>
    <n v="46"/>
    <s v="F"/>
    <s v="Female"/>
    <x v="1"/>
    <x v="0"/>
    <s v="STORES"/>
  </r>
  <r>
    <x v="1221"/>
    <d v="2007-11-15T00:00:00"/>
    <d v="2020-07-10T00:00:00"/>
    <n v="13"/>
    <m/>
    <s v="Vancouver"/>
    <s v="Customer Service"/>
    <s v="Cashier"/>
    <n v="43"/>
    <s v="M"/>
    <s v="Male"/>
    <x v="1"/>
    <x v="0"/>
    <s v="STORES"/>
  </r>
  <r>
    <x v="1222"/>
    <d v="2004-11-22T00:00:00"/>
    <d v="2020-11-05T00:00:00"/>
    <n v="16"/>
    <m/>
    <s v="Princeton"/>
    <s v="Produce"/>
    <s v="Produce Clerk"/>
    <n v="27"/>
    <s v="F"/>
    <s v="Female"/>
    <x v="2"/>
    <x v="0"/>
    <s v="STORES"/>
  </r>
  <r>
    <x v="1223"/>
    <d v="1998-01-06T00:00:00"/>
    <d v="2020-06-24T00:00:00"/>
    <n v="22"/>
    <m/>
    <s v="Victoria"/>
    <s v="Dairy"/>
    <s v="Dairy Person"/>
    <n v="46"/>
    <s v="M"/>
    <s v="Male"/>
    <x v="1"/>
    <x v="0"/>
    <s v="STORES"/>
  </r>
  <r>
    <x v="1224"/>
    <d v="1998-12-29T00:00:00"/>
    <d v="2020-12-10T00:00:00"/>
    <n v="22"/>
    <m/>
    <s v="Kelowna"/>
    <s v="Processed Foods"/>
    <s v="Shelf Stocker"/>
    <n v="16"/>
    <s v="M"/>
    <s v="Male"/>
    <x v="1"/>
    <x v="0"/>
    <s v="STORES"/>
  </r>
  <r>
    <x v="1225"/>
    <d v="2010-06-02T00:00:00"/>
    <d v="2020-04-29T00:00:00"/>
    <n v="10"/>
    <m/>
    <s v="Victoria"/>
    <s v="Dairy"/>
    <s v="Dairy Person"/>
    <n v="46"/>
    <s v="M"/>
    <s v="Male"/>
    <x v="1"/>
    <x v="0"/>
    <s v="STORES"/>
  </r>
  <r>
    <x v="1226"/>
    <d v="1990-02-13T00:00:00"/>
    <d v="2020-04-28T00:00:00"/>
    <n v="30"/>
    <m/>
    <s v="Vancouver"/>
    <s v="Customer Service"/>
    <s v="Cashier"/>
    <n v="43"/>
    <s v="M"/>
    <s v="Male"/>
    <x v="1"/>
    <x v="0"/>
    <s v="STORES"/>
  </r>
  <r>
    <x v="1227"/>
    <d v="2005-07-31T00:00:00"/>
    <d v="2020-05-14T00:00:00"/>
    <n v="15"/>
    <m/>
    <s v="Nanaimo"/>
    <s v="Processed Foods"/>
    <s v="Shelf Stocker"/>
    <n v="18"/>
    <s v="F"/>
    <s v="Female"/>
    <x v="1"/>
    <x v="0"/>
    <s v="STORES"/>
  </r>
  <r>
    <x v="1228"/>
    <d v="1993-09-22T00:00:00"/>
    <d v="2020-02-22T00:00:00"/>
    <n v="27"/>
    <m/>
    <s v="Vancouver"/>
    <s v="Customer Service"/>
    <s v="Cashier"/>
    <n v="43"/>
    <s v="M"/>
    <s v="Male"/>
    <x v="1"/>
    <x v="0"/>
    <s v="STORES"/>
  </r>
  <r>
    <x v="1229"/>
    <d v="1992-09-10T00:00:00"/>
    <d v="2020-10-31T00:00:00"/>
    <n v="28"/>
    <m/>
    <s v="Vancouver"/>
    <s v="Customer Service"/>
    <s v="Cashier"/>
    <n v="43"/>
    <s v="F"/>
    <s v="Female"/>
    <x v="1"/>
    <x v="0"/>
    <s v="STORES"/>
  </r>
  <r>
    <x v="1230"/>
    <d v="1991-12-22T00:00:00"/>
    <d v="2020-08-22T00:00:00"/>
    <n v="29"/>
    <m/>
    <s v="Princeton"/>
    <s v="Customer Service"/>
    <s v="Cashier"/>
    <n v="27"/>
    <s v="F"/>
    <s v="Female"/>
    <x v="2"/>
    <x v="0"/>
    <s v="STORES"/>
  </r>
  <r>
    <x v="1231"/>
    <d v="2015-08-09T00:00:00"/>
    <d v="2020-02-01T00:00:00"/>
    <n v="5"/>
    <m/>
    <s v="New Westminister"/>
    <s v="Bakery"/>
    <s v="Baker"/>
    <n v="20"/>
    <s v="F"/>
    <s v="Female"/>
    <x v="2"/>
    <x v="0"/>
    <s v="STORES"/>
  </r>
  <r>
    <x v="1232"/>
    <d v="2007-06-28T00:00:00"/>
    <d v="2020-02-13T00:00:00"/>
    <n v="13"/>
    <m/>
    <s v="Vancouver"/>
    <s v="Customer Service"/>
    <s v="Cashier"/>
    <n v="43"/>
    <s v="F"/>
    <s v="Female"/>
    <x v="1"/>
    <x v="0"/>
    <s v="STORES"/>
  </r>
  <r>
    <x v="1233"/>
    <d v="1993-12-27T00:00:00"/>
    <d v="2020-05-01T00:00:00"/>
    <n v="27"/>
    <m/>
    <s v="Richmond"/>
    <s v="Processed Foods"/>
    <s v="Shelf Stocker"/>
    <n v="29"/>
    <s v="M"/>
    <s v="Male"/>
    <x v="1"/>
    <x v="0"/>
    <s v="STORES"/>
  </r>
  <r>
    <x v="1234"/>
    <d v="2007-10-04T00:00:00"/>
    <d v="2020-04-13T00:00:00"/>
    <n v="13"/>
    <m/>
    <s v="Nanaimo"/>
    <s v="Processed Foods"/>
    <s v="Shelf Stocker"/>
    <n v="18"/>
    <s v="M"/>
    <s v="Male"/>
    <x v="1"/>
    <x v="0"/>
    <s v="STORES"/>
  </r>
  <r>
    <x v="1235"/>
    <d v="2012-01-14T00:00:00"/>
    <d v="2020-01-09T00:00:00"/>
    <n v="8"/>
    <m/>
    <s v="New Westminister"/>
    <s v="Dairy"/>
    <s v="Dairy Person"/>
    <n v="20"/>
    <s v="F"/>
    <s v="Female"/>
    <x v="2"/>
    <x v="0"/>
    <s v="STORES"/>
  </r>
  <r>
    <x v="1236"/>
    <d v="2003-05-14T00:00:00"/>
    <d v="2020-08-18T00:00:00"/>
    <n v="17"/>
    <m/>
    <s v="Pitt Meadows"/>
    <s v="Dairy"/>
    <s v="Dairy Person"/>
    <n v="24"/>
    <s v="M"/>
    <s v="Male"/>
    <x v="2"/>
    <x v="0"/>
    <s v="STORES"/>
  </r>
  <r>
    <x v="1237"/>
    <d v="2015-01-25T00:00:00"/>
    <d v="2020-01-14T00:00:00"/>
    <n v="5"/>
    <m/>
    <s v="Cranbrook"/>
    <s v="Processed Foods"/>
    <s v="Shelf Stocker"/>
    <n v="8"/>
    <s v="F"/>
    <s v="Female"/>
    <x v="1"/>
    <x v="0"/>
    <s v="STORES"/>
  </r>
  <r>
    <x v="1238"/>
    <d v="1995-01-31T00:00:00"/>
    <d v="2020-11-15T00:00:00"/>
    <n v="25"/>
    <m/>
    <s v="White Rock"/>
    <s v="Customer Service"/>
    <s v="Cashier"/>
    <n v="39"/>
    <s v="M"/>
    <s v="Male"/>
    <x v="2"/>
    <x v="0"/>
    <s v="STORES"/>
  </r>
  <r>
    <x v="1239"/>
    <d v="2009-01-19T00:00:00"/>
    <d v="2020-03-23T00:00:00"/>
    <n v="11"/>
    <m/>
    <s v="Pitt Meadows"/>
    <s v="Dairy"/>
    <s v="Dairy Person"/>
    <n v="24"/>
    <s v="M"/>
    <s v="Male"/>
    <x v="2"/>
    <x v="0"/>
    <s v="STORES"/>
  </r>
  <r>
    <x v="1240"/>
    <d v="1999-06-27T00:00:00"/>
    <d v="2020-08-07T00:00:00"/>
    <n v="21"/>
    <m/>
    <s v="Grand Forks"/>
    <s v="Dairy"/>
    <s v="Dairy Person"/>
    <n v="13"/>
    <s v="M"/>
    <s v="Male"/>
    <x v="2"/>
    <x v="0"/>
    <s v="STORES"/>
  </r>
  <r>
    <x v="1241"/>
    <d v="2008-05-28T00:00:00"/>
    <d v="2020-11-04T00:00:00"/>
    <n v="12"/>
    <m/>
    <s v="Kelowna"/>
    <s v="Processed Foods"/>
    <s v="Shelf Stocker"/>
    <n v="16"/>
    <s v="F"/>
    <s v="Female"/>
    <x v="1"/>
    <x v="0"/>
    <s v="STORES"/>
  </r>
  <r>
    <x v="1242"/>
    <d v="1995-03-27T00:00:00"/>
    <d v="2020-11-23T00:00:00"/>
    <n v="25"/>
    <m/>
    <s v="Terrace"/>
    <s v="Customer Service"/>
    <s v="Cashier"/>
    <n v="32"/>
    <s v="M"/>
    <s v="Male"/>
    <x v="1"/>
    <x v="0"/>
    <s v="STORES"/>
  </r>
  <r>
    <x v="1243"/>
    <d v="2014-10-13T00:00:00"/>
    <d v="2020-04-28T00:00:00"/>
    <n v="6"/>
    <m/>
    <s v="New Westminster"/>
    <s v="Processed Foods"/>
    <s v="Shelf Stocker"/>
    <n v="21"/>
    <s v="F"/>
    <s v="Female"/>
    <x v="1"/>
    <x v="0"/>
    <s v="STORES"/>
  </r>
  <r>
    <x v="1244"/>
    <d v="2013-04-24T00:00:00"/>
    <d v="2020-01-17T00:00:00"/>
    <n v="7"/>
    <m/>
    <s v="Chilliwack"/>
    <s v="Processed Foods"/>
    <s v="Shelf Stocker"/>
    <n v="6"/>
    <s v="F"/>
    <s v="Female"/>
    <x v="1"/>
    <x v="0"/>
    <s v="STORES"/>
  </r>
  <r>
    <x v="1245"/>
    <d v="2008-06-12T00:00:00"/>
    <d v="2020-08-25T00:00:00"/>
    <n v="12"/>
    <m/>
    <s v="Quesnel"/>
    <s v="Customer Service"/>
    <s v="Cashier"/>
    <n v="28"/>
    <s v="M"/>
    <s v="Male"/>
    <x v="1"/>
    <x v="0"/>
    <s v="STORES"/>
  </r>
  <r>
    <x v="1246"/>
    <d v="1993-02-23T00:00:00"/>
    <d v="2020-06-21T00:00:00"/>
    <n v="27"/>
    <m/>
    <s v="Quesnel"/>
    <s v="Customer Service"/>
    <s v="Cashier"/>
    <n v="28"/>
    <s v="F"/>
    <s v="Female"/>
    <x v="1"/>
    <x v="0"/>
    <s v="STORES"/>
  </r>
  <r>
    <x v="1247"/>
    <d v="1994-07-21T00:00:00"/>
    <d v="2020-07-25T00:00:00"/>
    <n v="26"/>
    <m/>
    <s v="Grand Forks"/>
    <s v="Dairy"/>
    <s v="Dairy Person"/>
    <n v="13"/>
    <s v="M"/>
    <s v="Male"/>
    <x v="2"/>
    <x v="0"/>
    <s v="STORES"/>
  </r>
  <r>
    <x v="1248"/>
    <d v="2010-07-20T00:00:00"/>
    <d v="2020-11-17T00:00:00"/>
    <n v="10"/>
    <m/>
    <s v="Vancouver"/>
    <s v="Meats"/>
    <s v="Meat Cutter"/>
    <n v="44"/>
    <s v="F"/>
    <s v="Female"/>
    <x v="1"/>
    <x v="0"/>
    <s v="STORES"/>
  </r>
  <r>
    <x v="1249"/>
    <d v="2015-10-08T00:00:00"/>
    <d v="2020-06-14T00:00:00"/>
    <n v="5"/>
    <m/>
    <s v="Vancouver"/>
    <s v="Meats"/>
    <s v="Meat Cutter"/>
    <n v="44"/>
    <s v="F"/>
    <s v="Female"/>
    <x v="1"/>
    <x v="0"/>
    <s v="STORES"/>
  </r>
  <r>
    <x v="1250"/>
    <d v="2006-09-05T00:00:00"/>
    <d v="2020-07-02T00:00:00"/>
    <n v="14"/>
    <m/>
    <s v="Victoria"/>
    <s v="Dairy"/>
    <s v="Dairy Person"/>
    <n v="46"/>
    <s v="F"/>
    <s v="Female"/>
    <x v="1"/>
    <x v="0"/>
    <s v="STORES"/>
  </r>
  <r>
    <x v="1251"/>
    <d v="2002-01-22T00:00:00"/>
    <d v="2020-01-03T00:00:00"/>
    <n v="18"/>
    <m/>
    <s v="Richmond"/>
    <s v="Processed Foods"/>
    <s v="Shelf Stocker"/>
    <n v="29"/>
    <s v="F"/>
    <s v="Female"/>
    <x v="1"/>
    <x v="0"/>
    <s v="STORES"/>
  </r>
  <r>
    <x v="1252"/>
    <d v="2007-06-29T00:00:00"/>
    <d v="2020-01-28T00:00:00"/>
    <n v="13"/>
    <m/>
    <s v="Vancouver"/>
    <s v="Meats"/>
    <s v="Meat Cutter"/>
    <n v="44"/>
    <s v="M"/>
    <s v="Male"/>
    <x v="1"/>
    <x v="0"/>
    <s v="STORES"/>
  </r>
  <r>
    <x v="1253"/>
    <d v="1996-03-06T00:00:00"/>
    <d v="2020-10-17T00:00:00"/>
    <n v="24"/>
    <m/>
    <s v="Trail"/>
    <s v="Processed Foods"/>
    <s v="Shelf Stocker"/>
    <n v="33"/>
    <s v="M"/>
    <s v="Male"/>
    <x v="1"/>
    <x v="0"/>
    <s v="STORES"/>
  </r>
  <r>
    <x v="1254"/>
    <d v="2014-10-18T00:00:00"/>
    <d v="2020-01-07T00:00:00"/>
    <n v="6"/>
    <m/>
    <s v="Princeton"/>
    <s v="Customer Service"/>
    <s v="Cashier"/>
    <n v="27"/>
    <s v="F"/>
    <s v="Female"/>
    <x v="2"/>
    <x v="0"/>
    <s v="STORES"/>
  </r>
  <r>
    <x v="1255"/>
    <d v="1991-02-11T00:00:00"/>
    <d v="2020-09-03T00:00:00"/>
    <n v="29"/>
    <m/>
    <s v="Nanaimo"/>
    <s v="Customer Service"/>
    <s v="Cashier"/>
    <n v="18"/>
    <s v="M"/>
    <s v="Male"/>
    <x v="1"/>
    <x v="0"/>
    <s v="STORES"/>
  </r>
  <r>
    <x v="1256"/>
    <d v="2009-03-18T00:00:00"/>
    <d v="2020-02-22T00:00:00"/>
    <n v="11"/>
    <m/>
    <s v="Grand Forks"/>
    <s v="Processed Foods"/>
    <s v="Shelf Stocker"/>
    <n v="13"/>
    <s v="M"/>
    <s v="Male"/>
    <x v="2"/>
    <x v="0"/>
    <s v="STORES"/>
  </r>
  <r>
    <x v="1257"/>
    <d v="2001-06-06T00:00:00"/>
    <d v="2020-01-31T00:00:00"/>
    <n v="19"/>
    <m/>
    <s v="Princeton"/>
    <s v="Customer Service"/>
    <s v="Cashier"/>
    <n v="27"/>
    <s v="M"/>
    <s v="Male"/>
    <x v="2"/>
    <x v="0"/>
    <s v="STORES"/>
  </r>
  <r>
    <x v="1258"/>
    <d v="2007-06-15T00:00:00"/>
    <d v="2020-04-03T00:00:00"/>
    <n v="13"/>
    <m/>
    <s v="Surrey"/>
    <s v="Processed Foods"/>
    <s v="Shelf Stocker"/>
    <n v="31"/>
    <s v="F"/>
    <s v="Female"/>
    <x v="1"/>
    <x v="0"/>
    <s v="STORES"/>
  </r>
  <r>
    <x v="1259"/>
    <d v="2000-12-05T00:00:00"/>
    <d v="2020-01-08T00:00:00"/>
    <n v="20"/>
    <m/>
    <s v="Victoria"/>
    <s v="Dairy"/>
    <s v="Dairy Person"/>
    <n v="46"/>
    <s v="F"/>
    <s v="Female"/>
    <x v="1"/>
    <x v="0"/>
    <s v="STORES"/>
  </r>
  <r>
    <x v="1260"/>
    <d v="2009-09-13T00:00:00"/>
    <d v="2020-05-03T00:00:00"/>
    <n v="11"/>
    <m/>
    <s v="Prince George"/>
    <s v="Customer Service"/>
    <s v="Cashier"/>
    <n v="26"/>
    <s v="M"/>
    <s v="Male"/>
    <x v="1"/>
    <x v="0"/>
    <s v="STORES"/>
  </r>
  <r>
    <x v="1261"/>
    <d v="1991-10-28T00:00:00"/>
    <d v="2020-02-07T00:00:00"/>
    <n v="29"/>
    <m/>
    <s v="Cranbrook"/>
    <s v="Processed Foods"/>
    <s v="Shelf Stocker"/>
    <n v="8"/>
    <s v="F"/>
    <s v="Female"/>
    <x v="1"/>
    <x v="0"/>
    <s v="STORES"/>
  </r>
  <r>
    <x v="1262"/>
    <d v="2000-03-20T00:00:00"/>
    <d v="2020-04-26T00:00:00"/>
    <n v="20"/>
    <m/>
    <s v="Prince George"/>
    <s v="Customer Service"/>
    <s v="Cashier"/>
    <n v="26"/>
    <s v="F"/>
    <s v="Female"/>
    <x v="1"/>
    <x v="0"/>
    <s v="STORES"/>
  </r>
  <r>
    <x v="1263"/>
    <d v="2010-10-23T00:00:00"/>
    <d v="2020-06-03T00:00:00"/>
    <n v="10"/>
    <m/>
    <s v="Vancouver"/>
    <s v="Meats"/>
    <s v="Meat Cutter"/>
    <n v="44"/>
    <s v="F"/>
    <s v="Female"/>
    <x v="1"/>
    <x v="0"/>
    <s v="STORES"/>
  </r>
  <r>
    <x v="1264"/>
    <d v="1992-12-02T00:00:00"/>
    <d v="2020-02-24T00:00:00"/>
    <n v="28"/>
    <m/>
    <s v="Surrey"/>
    <s v="Processed Foods"/>
    <s v="Shelf Stocker"/>
    <n v="31"/>
    <s v="F"/>
    <s v="Female"/>
    <x v="1"/>
    <x v="0"/>
    <s v="STORES"/>
  </r>
  <r>
    <x v="1265"/>
    <d v="2003-09-05T00:00:00"/>
    <d v="2020-03-27T00:00:00"/>
    <n v="17"/>
    <m/>
    <s v="Chilliwack"/>
    <s v="Processed Foods"/>
    <s v="Shelf Stocker"/>
    <n v="6"/>
    <s v="F"/>
    <s v="Female"/>
    <x v="1"/>
    <x v="0"/>
    <s v="STORES"/>
  </r>
  <r>
    <x v="1266"/>
    <d v="2002-01-27T00:00:00"/>
    <d v="2020-03-26T00:00:00"/>
    <n v="18"/>
    <m/>
    <s v="Vancouver"/>
    <s v="Meats"/>
    <s v="Meat Cutter"/>
    <n v="44"/>
    <s v="F"/>
    <s v="Female"/>
    <x v="1"/>
    <x v="0"/>
    <s v="STORES"/>
  </r>
  <r>
    <x v="1267"/>
    <d v="2013-11-08T00:00:00"/>
    <d v="2020-02-13T00:00:00"/>
    <n v="7"/>
    <m/>
    <s v="Burnaby"/>
    <s v="Dairy"/>
    <s v="Dairy Person"/>
    <n v="5"/>
    <s v="F"/>
    <s v="Female"/>
    <x v="1"/>
    <x v="0"/>
    <s v="STORES"/>
  </r>
  <r>
    <x v="1268"/>
    <d v="1999-01-17T00:00:00"/>
    <d v="2020-08-22T00:00:00"/>
    <n v="21"/>
    <m/>
    <s v="Cortes Island"/>
    <s v="Dairy"/>
    <s v="Dairy Person"/>
    <n v="7"/>
    <s v="F"/>
    <s v="Female"/>
    <x v="2"/>
    <x v="0"/>
    <s v="STORES"/>
  </r>
  <r>
    <x v="1269"/>
    <d v="2013-05-25T00:00:00"/>
    <d v="2020-04-09T00:00:00"/>
    <n v="7"/>
    <m/>
    <s v="Nelson"/>
    <s v="Dairy"/>
    <s v="Dairy Person"/>
    <n v="19"/>
    <s v="F"/>
    <s v="Female"/>
    <x v="1"/>
    <x v="0"/>
    <s v="STORES"/>
  </r>
  <r>
    <x v="1270"/>
    <d v="2007-10-04T00:00:00"/>
    <d v="2020-08-20T00:00:00"/>
    <n v="13"/>
    <m/>
    <s v="Grand Forks"/>
    <s v="Processed Foods"/>
    <s v="Shelf Stocker"/>
    <n v="13"/>
    <s v="M"/>
    <s v="Male"/>
    <x v="2"/>
    <x v="0"/>
    <s v="STORES"/>
  </r>
  <r>
    <x v="1271"/>
    <d v="1997-03-17T00:00:00"/>
    <d v="2020-08-30T00:00:00"/>
    <n v="23"/>
    <m/>
    <s v="Surrey"/>
    <s v="Processed Foods"/>
    <s v="Shelf Stocker"/>
    <n v="31"/>
    <s v="F"/>
    <s v="Female"/>
    <x v="1"/>
    <x v="0"/>
    <s v="STORES"/>
  </r>
  <r>
    <x v="1272"/>
    <d v="1994-05-12T00:00:00"/>
    <d v="2020-02-05T00:00:00"/>
    <n v="26"/>
    <m/>
    <s v="New Westminster"/>
    <s v="Processed Foods"/>
    <s v="Shelf Stocker"/>
    <n v="21"/>
    <s v="F"/>
    <s v="Female"/>
    <x v="1"/>
    <x v="0"/>
    <s v="STORES"/>
  </r>
  <r>
    <x v="1273"/>
    <d v="2012-06-23T00:00:00"/>
    <d v="2020-12-08T00:00:00"/>
    <n v="8"/>
    <m/>
    <s v="Fort Nelson"/>
    <s v="Customer Service"/>
    <s v="Cashier"/>
    <n v="11"/>
    <s v="F"/>
    <s v="Female"/>
    <x v="2"/>
    <x v="0"/>
    <s v="STORES"/>
  </r>
  <r>
    <x v="1274"/>
    <d v="2005-02-03T00:00:00"/>
    <d v="2020-01-02T00:00:00"/>
    <n v="15"/>
    <m/>
    <s v="Vancouver"/>
    <s v="Meats"/>
    <s v="Meat Cutter"/>
    <n v="44"/>
    <s v="F"/>
    <s v="Female"/>
    <x v="1"/>
    <x v="0"/>
    <s v="STORES"/>
  </r>
  <r>
    <x v="1275"/>
    <d v="1997-05-06T00:00:00"/>
    <d v="2020-06-21T00:00:00"/>
    <n v="23"/>
    <m/>
    <s v="New Westminster"/>
    <s v="Processed Foods"/>
    <s v="Shelf Stocker"/>
    <n v="21"/>
    <s v="F"/>
    <s v="Female"/>
    <x v="1"/>
    <x v="0"/>
    <s v="STORES"/>
  </r>
  <r>
    <x v="1276"/>
    <d v="2004-11-05T00:00:00"/>
    <d v="2020-02-28T00:00:00"/>
    <n v="16"/>
    <m/>
    <s v="Victoria"/>
    <s v="Dairy"/>
    <s v="Dairy Person"/>
    <n v="46"/>
    <s v="F"/>
    <s v="Female"/>
    <x v="1"/>
    <x v="0"/>
    <s v="STORES"/>
  </r>
  <r>
    <x v="1277"/>
    <d v="2005-05-17T00:00:00"/>
    <d v="2020-03-01T00:00:00"/>
    <n v="15"/>
    <m/>
    <s v="Nanaimo"/>
    <s v="Customer Service"/>
    <s v="Cashier"/>
    <n v="18"/>
    <s v="F"/>
    <s v="Female"/>
    <x v="1"/>
    <x v="0"/>
    <s v="STORES"/>
  </r>
  <r>
    <x v="1278"/>
    <d v="2000-11-01T00:00:00"/>
    <d v="2020-11-25T00:00:00"/>
    <n v="20"/>
    <m/>
    <s v="Fort Nelson"/>
    <s v="Customer Service"/>
    <s v="Cashier"/>
    <n v="11"/>
    <s v="M"/>
    <s v="Male"/>
    <x v="2"/>
    <x v="0"/>
    <s v="STORES"/>
  </r>
  <r>
    <x v="1279"/>
    <d v="2002-07-13T00:00:00"/>
    <d v="2020-10-10T00:00:00"/>
    <n v="18"/>
    <m/>
    <s v="Kamloops"/>
    <s v="Processed Foods"/>
    <s v="Shelf Stocker"/>
    <n v="15"/>
    <s v="F"/>
    <s v="Female"/>
    <x v="1"/>
    <x v="0"/>
    <s v="STORES"/>
  </r>
  <r>
    <x v="1280"/>
    <d v="2003-07-27T00:00:00"/>
    <d v="2020-04-15T00:00:00"/>
    <n v="17"/>
    <m/>
    <s v="Victoria"/>
    <s v="Dairy"/>
    <s v="Dairy Person"/>
    <n v="46"/>
    <s v="F"/>
    <s v="Female"/>
    <x v="1"/>
    <x v="0"/>
    <s v="STORES"/>
  </r>
  <r>
    <x v="1281"/>
    <d v="2007-12-21T00:00:00"/>
    <d v="2020-01-11T00:00:00"/>
    <n v="13"/>
    <m/>
    <s v="Quesnel"/>
    <s v="Customer Service"/>
    <s v="Cashier"/>
    <n v="28"/>
    <s v="F"/>
    <s v="Female"/>
    <x v="1"/>
    <x v="0"/>
    <s v="STORES"/>
  </r>
  <r>
    <x v="1282"/>
    <d v="1992-06-28T00:00:00"/>
    <d v="2020-08-11T00:00:00"/>
    <n v="28"/>
    <m/>
    <s v="Vancouver"/>
    <s v="Meats"/>
    <s v="Meat Cutter"/>
    <n v="44"/>
    <s v="F"/>
    <s v="Female"/>
    <x v="1"/>
    <x v="0"/>
    <s v="STORES"/>
  </r>
  <r>
    <x v="1283"/>
    <d v="2010-11-28T00:00:00"/>
    <d v="2020-09-17T00:00:00"/>
    <n v="10"/>
    <m/>
    <s v="Abbotsford"/>
    <s v="Dairy"/>
    <s v="Dairy Person"/>
    <n v="1"/>
    <s v="F"/>
    <s v="Female"/>
    <x v="1"/>
    <x v="0"/>
    <s v="STORES"/>
  </r>
  <r>
    <x v="1284"/>
    <d v="1990-01-11T00:00:00"/>
    <d v="2020-02-08T00:00:00"/>
    <n v="30"/>
    <m/>
    <s v="White Rock"/>
    <s v="Customer Service"/>
    <s v="Cashier"/>
    <n v="39"/>
    <s v="M"/>
    <s v="Male"/>
    <x v="2"/>
    <x v="0"/>
    <s v="STORES"/>
  </r>
  <r>
    <x v="1285"/>
    <d v="1992-03-11T00:00:00"/>
    <d v="2020-01-22T00:00:00"/>
    <n v="28"/>
    <m/>
    <s v="Valemount"/>
    <s v="Dairy"/>
    <s v="Dairy Person"/>
    <n v="34"/>
    <s v="M"/>
    <s v="Male"/>
    <x v="2"/>
    <x v="0"/>
    <s v="STORES"/>
  </r>
  <r>
    <x v="1286"/>
    <d v="2001-01-21T00:00:00"/>
    <d v="2020-08-30T00:00:00"/>
    <n v="19"/>
    <m/>
    <s v="Vancouver"/>
    <s v="Meats"/>
    <s v="Meat Cutter"/>
    <n v="44"/>
    <s v="M"/>
    <s v="Male"/>
    <x v="1"/>
    <x v="0"/>
    <s v="STORES"/>
  </r>
  <r>
    <x v="1287"/>
    <d v="2006-03-09T00:00:00"/>
    <d v="2020-05-04T00:00:00"/>
    <n v="14"/>
    <m/>
    <s v="New Westminister"/>
    <s v="Dairy"/>
    <s v="Dairy Person"/>
    <n v="20"/>
    <s v="F"/>
    <s v="Female"/>
    <x v="2"/>
    <x v="0"/>
    <s v="STORES"/>
  </r>
  <r>
    <x v="1288"/>
    <d v="1991-04-12T00:00:00"/>
    <d v="2020-03-05T00:00:00"/>
    <n v="29"/>
    <m/>
    <s v="New Westminster"/>
    <s v="Processed Foods"/>
    <s v="Shelf Stocker"/>
    <n v="21"/>
    <s v="F"/>
    <s v="Female"/>
    <x v="1"/>
    <x v="0"/>
    <s v="STORES"/>
  </r>
  <r>
    <x v="1289"/>
    <d v="2012-09-13T00:00:00"/>
    <d v="2020-04-11T00:00:00"/>
    <n v="8"/>
    <m/>
    <s v="New Westminister"/>
    <s v="Dairy"/>
    <s v="Dairy Person"/>
    <n v="20"/>
    <s v="M"/>
    <s v="Male"/>
    <x v="2"/>
    <x v="0"/>
    <s v="STORES"/>
  </r>
  <r>
    <x v="1290"/>
    <d v="2000-11-17T00:00:00"/>
    <d v="2020-07-13T00:00:00"/>
    <n v="20"/>
    <m/>
    <s v="Haney"/>
    <s v="Customer Service"/>
    <s v="Cashier"/>
    <n v="14"/>
    <s v="M"/>
    <s v="Male"/>
    <x v="2"/>
    <x v="0"/>
    <s v="STORES"/>
  </r>
  <r>
    <x v="1291"/>
    <d v="1996-11-25T00:00:00"/>
    <d v="2020-10-20T00:00:00"/>
    <n v="24"/>
    <m/>
    <s v="Prince George"/>
    <s v="Customer Service"/>
    <s v="Cashier"/>
    <n v="26"/>
    <s v="M"/>
    <s v="Male"/>
    <x v="1"/>
    <x v="0"/>
    <s v="STORES"/>
  </r>
  <r>
    <x v="1292"/>
    <d v="2000-01-24T00:00:00"/>
    <d v="2020-11-19T00:00:00"/>
    <n v="20"/>
    <m/>
    <s v="Grand Forks"/>
    <s v="Processed Foods"/>
    <s v="Shelf Stocker"/>
    <n v="13"/>
    <s v="F"/>
    <s v="Female"/>
    <x v="2"/>
    <x v="0"/>
    <s v="STORES"/>
  </r>
  <r>
    <x v="1293"/>
    <d v="1997-01-13T00:00:00"/>
    <d v="2020-05-03T00:00:00"/>
    <n v="23"/>
    <m/>
    <s v="Pitt Meadows"/>
    <s v="Dairy"/>
    <s v="Dairy Person"/>
    <n v="24"/>
    <s v="M"/>
    <s v="Male"/>
    <x v="2"/>
    <x v="0"/>
    <s v="STORES"/>
  </r>
  <r>
    <x v="1294"/>
    <d v="1998-07-26T00:00:00"/>
    <d v="2020-12-03T00:00:00"/>
    <n v="22"/>
    <m/>
    <s v="Port Coquitlam"/>
    <s v="Customer Service"/>
    <s v="Cashier"/>
    <n v="25"/>
    <s v="M"/>
    <s v="Male"/>
    <x v="1"/>
    <x v="0"/>
    <s v="STORES"/>
  </r>
  <r>
    <x v="1295"/>
    <d v="2012-01-29T00:00:00"/>
    <d v="2020-04-03T00:00:00"/>
    <n v="8"/>
    <m/>
    <s v="Terrace"/>
    <s v="Customer Service"/>
    <s v="Cashier"/>
    <n v="32"/>
    <s v="M"/>
    <s v="Male"/>
    <x v="1"/>
    <x v="0"/>
    <s v="STORES"/>
  </r>
  <r>
    <x v="1296"/>
    <d v="2012-08-29T00:00:00"/>
    <d v="2020-02-26T00:00:00"/>
    <n v="8"/>
    <m/>
    <s v="Haney"/>
    <s v="Customer Service"/>
    <s v="Cashier"/>
    <n v="14"/>
    <s v="M"/>
    <s v="Male"/>
    <x v="2"/>
    <x v="0"/>
    <s v="STORES"/>
  </r>
  <r>
    <x v="1297"/>
    <d v="2009-08-18T00:00:00"/>
    <d v="2020-02-27T00:00:00"/>
    <n v="11"/>
    <m/>
    <s v="Chilliwack"/>
    <s v="Customer Service"/>
    <s v="Cashier"/>
    <n v="6"/>
    <s v="M"/>
    <s v="Male"/>
    <x v="1"/>
    <x v="0"/>
    <s v="STORES"/>
  </r>
  <r>
    <x v="1298"/>
    <d v="2009-05-11T00:00:00"/>
    <d v="2020-12-17T00:00:00"/>
    <n v="11"/>
    <m/>
    <s v="Chilliwack"/>
    <s v="Customer Service"/>
    <s v="Cashier"/>
    <n v="6"/>
    <s v="M"/>
    <s v="Male"/>
    <x v="1"/>
    <x v="0"/>
    <s v="STORES"/>
  </r>
  <r>
    <x v="1299"/>
    <d v="2012-07-15T00:00:00"/>
    <d v="2020-04-14T00:00:00"/>
    <n v="8"/>
    <m/>
    <s v="Williams Lake"/>
    <s v="Customer Service"/>
    <s v="Cashier"/>
    <n v="40"/>
    <s v="M"/>
    <s v="Male"/>
    <x v="1"/>
    <x v="0"/>
    <s v="STORES"/>
  </r>
  <r>
    <x v="1300"/>
    <d v="1990-03-05T00:00:00"/>
    <d v="2020-05-06T00:00:00"/>
    <n v="30"/>
    <m/>
    <s v="Vernon"/>
    <s v="Customer Service"/>
    <s v="Cashier"/>
    <n v="36"/>
    <s v="M"/>
    <s v="Male"/>
    <x v="1"/>
    <x v="0"/>
    <s v="STORES"/>
  </r>
  <r>
    <x v="1301"/>
    <d v="2003-12-08T00:00:00"/>
    <d v="2020-04-07T00:00:00"/>
    <n v="17"/>
    <m/>
    <s v="Quesnel"/>
    <s v="Customer Service"/>
    <s v="Cashier"/>
    <n v="28"/>
    <s v="F"/>
    <s v="Female"/>
    <x v="1"/>
    <x v="0"/>
    <s v="STORES"/>
  </r>
  <r>
    <x v="1302"/>
    <d v="2006-12-31T00:00:00"/>
    <d v="2020-09-30T00:00:00"/>
    <n v="14"/>
    <m/>
    <s v="Quesnel"/>
    <s v="Customer Service"/>
    <s v="Cashier"/>
    <n v="28"/>
    <s v="F"/>
    <s v="Female"/>
    <x v="1"/>
    <x v="0"/>
    <s v="STORES"/>
  </r>
  <r>
    <x v="1303"/>
    <d v="2002-01-06T00:00:00"/>
    <d v="2020-07-14T00:00:00"/>
    <n v="18"/>
    <m/>
    <s v="Terrace"/>
    <s v="Customer Service"/>
    <s v="Cashier"/>
    <n v="32"/>
    <s v="F"/>
    <s v="Female"/>
    <x v="1"/>
    <x v="0"/>
    <s v="STORES"/>
  </r>
  <r>
    <x v="1304"/>
    <d v="2004-09-10T00:00:00"/>
    <d v="2020-11-07T00:00:00"/>
    <n v="16"/>
    <m/>
    <s v="Port Coquitlam"/>
    <s v="Customer Service"/>
    <s v="Cashier"/>
    <n v="25"/>
    <s v="F"/>
    <s v="Female"/>
    <x v="1"/>
    <x v="0"/>
    <s v="STORES"/>
  </r>
  <r>
    <x v="1305"/>
    <d v="1994-12-28T00:00:00"/>
    <d v="2020-06-17T00:00:00"/>
    <n v="26"/>
    <m/>
    <s v="Prince George"/>
    <s v="Customer Service"/>
    <s v="Cashier"/>
    <n v="26"/>
    <s v="F"/>
    <s v="Female"/>
    <x v="1"/>
    <x v="0"/>
    <s v="STORES"/>
  </r>
  <r>
    <x v="1306"/>
    <d v="2007-02-23T00:00:00"/>
    <d v="2020-06-28T00:00:00"/>
    <n v="13"/>
    <m/>
    <s v="Prince George"/>
    <s v="Customer Service"/>
    <s v="Cashier"/>
    <n v="26"/>
    <s v="F"/>
    <s v="Female"/>
    <x v="1"/>
    <x v="0"/>
    <s v="STORES"/>
  </r>
  <r>
    <x v="1307"/>
    <d v="2009-06-27T00:00:00"/>
    <d v="2020-12-22T00:00:00"/>
    <n v="11"/>
    <m/>
    <s v="Grand Forks"/>
    <s v="Processed Foods"/>
    <s v="Shelf Stocker"/>
    <n v="13"/>
    <s v="M"/>
    <s v="Male"/>
    <x v="2"/>
    <x v="0"/>
    <s v="STORES"/>
  </r>
  <r>
    <x v="1308"/>
    <d v="2007-03-07T00:00:00"/>
    <d v="2020-11-15T00:00:00"/>
    <n v="13"/>
    <m/>
    <s v="Cranbrook"/>
    <s v="Processed Foods"/>
    <s v="Shelf Stocker"/>
    <n v="8"/>
    <s v="F"/>
    <s v="Female"/>
    <x v="1"/>
    <x v="0"/>
    <s v="STORES"/>
  </r>
  <r>
    <x v="1309"/>
    <d v="2012-06-06T00:00:00"/>
    <d v="2020-07-21T00:00:00"/>
    <n v="8"/>
    <m/>
    <s v="Vancouver"/>
    <s v="Produce"/>
    <s v="Produce Clerk"/>
    <n v="44"/>
    <s v="M"/>
    <s v="Male"/>
    <x v="1"/>
    <x v="0"/>
    <s v="STORES"/>
  </r>
  <r>
    <x v="1310"/>
    <d v="1993-07-13T00:00:00"/>
    <d v="2020-05-15T00:00:00"/>
    <n v="27"/>
    <m/>
    <s v="Burnaby"/>
    <s v="Dairy"/>
    <s v="Dairy Person"/>
    <n v="5"/>
    <s v="M"/>
    <s v="Male"/>
    <x v="1"/>
    <x v="0"/>
    <s v="STORES"/>
  </r>
  <r>
    <x v="1311"/>
    <d v="2005-11-18T00:00:00"/>
    <d v="2020-11-06T00:00:00"/>
    <n v="15"/>
    <m/>
    <s v="Chilliwack"/>
    <s v="Customer Service"/>
    <s v="Cashier"/>
    <n v="6"/>
    <s v="F"/>
    <s v="Female"/>
    <x v="1"/>
    <x v="0"/>
    <s v="STORES"/>
  </r>
  <r>
    <x v="1312"/>
    <d v="2013-01-19T00:00:00"/>
    <d v="2020-11-20T00:00:00"/>
    <n v="7"/>
    <m/>
    <s v="Terrace"/>
    <s v="Customer Service"/>
    <s v="Cashier"/>
    <n v="32"/>
    <s v="F"/>
    <s v="Female"/>
    <x v="1"/>
    <x v="0"/>
    <s v="STORES"/>
  </r>
  <r>
    <x v="1313"/>
    <d v="2004-08-16T00:00:00"/>
    <d v="2020-01-10T00:00:00"/>
    <n v="16"/>
    <m/>
    <s v="Vancouver"/>
    <s v="Produce"/>
    <s v="Produce Clerk"/>
    <n v="44"/>
    <s v="F"/>
    <s v="Female"/>
    <x v="1"/>
    <x v="0"/>
    <s v="STORES"/>
  </r>
  <r>
    <x v="1314"/>
    <d v="1996-12-14T00:00:00"/>
    <d v="2020-10-14T00:00:00"/>
    <n v="24"/>
    <m/>
    <s v="New Westminister"/>
    <s v="Dairy"/>
    <s v="Dairy Person"/>
    <n v="20"/>
    <s v="M"/>
    <s v="Male"/>
    <x v="2"/>
    <x v="0"/>
    <s v="STORES"/>
  </r>
  <r>
    <x v="1315"/>
    <d v="2013-07-30T00:00:00"/>
    <d v="2020-08-19T00:00:00"/>
    <n v="7"/>
    <m/>
    <s v="New Westminister"/>
    <s v="Processed Foods"/>
    <s v="Shelf Stocker"/>
    <n v="20"/>
    <s v="M"/>
    <s v="Male"/>
    <x v="2"/>
    <x v="0"/>
    <s v="STORES"/>
  </r>
  <r>
    <x v="1316"/>
    <d v="1996-09-16T00:00:00"/>
    <d v="2020-11-26T00:00:00"/>
    <n v="24"/>
    <m/>
    <s v="Fort St John"/>
    <s v="Processed Foods"/>
    <s v="Shelf Stocker"/>
    <n v="12"/>
    <s v="F"/>
    <s v="Female"/>
    <x v="1"/>
    <x v="0"/>
    <s v="STORES"/>
  </r>
  <r>
    <x v="1317"/>
    <d v="2009-05-17T00:00:00"/>
    <d v="2020-05-27T00:00:00"/>
    <n v="11"/>
    <m/>
    <s v="Fort Nelson"/>
    <s v="Customer Service"/>
    <s v="Cashier"/>
    <n v="11"/>
    <s v="M"/>
    <s v="Male"/>
    <x v="2"/>
    <x v="0"/>
    <s v="STORES"/>
  </r>
  <r>
    <x v="1318"/>
    <d v="2001-03-05T00:00:00"/>
    <d v="2020-12-20T00:00:00"/>
    <n v="19"/>
    <m/>
    <s v="West Vancouver"/>
    <s v="Processed Foods"/>
    <s v="Shelf Stocker"/>
    <n v="38"/>
    <s v="M"/>
    <s v="Male"/>
    <x v="1"/>
    <x v="0"/>
    <s v="STORES"/>
  </r>
  <r>
    <x v="1319"/>
    <d v="2001-01-25T00:00:00"/>
    <d v="2020-11-15T00:00:00"/>
    <n v="19"/>
    <m/>
    <s v="Chilliwack"/>
    <s v="Customer Service"/>
    <s v="Cashier"/>
    <n v="6"/>
    <s v="M"/>
    <s v="Male"/>
    <x v="1"/>
    <x v="0"/>
    <s v="STORES"/>
  </r>
  <r>
    <x v="1320"/>
    <d v="1998-05-22T00:00:00"/>
    <d v="2020-04-14T00:00:00"/>
    <n v="22"/>
    <m/>
    <s v="Squamish"/>
    <s v="Customer Service"/>
    <s v="Cashier"/>
    <n v="30"/>
    <s v="F"/>
    <s v="Female"/>
    <x v="1"/>
    <x v="0"/>
    <s v="STORES"/>
  </r>
  <r>
    <x v="1321"/>
    <d v="2002-02-25T00:00:00"/>
    <d v="2020-07-07T00:00:00"/>
    <n v="18"/>
    <m/>
    <s v="Bella Bella"/>
    <s v="Customer Service"/>
    <s v="Cashier"/>
    <n v="3"/>
    <s v="F"/>
    <s v="Female"/>
    <x v="1"/>
    <x v="0"/>
    <s v="STORES"/>
  </r>
  <r>
    <x v="1322"/>
    <d v="1999-01-23T00:00:00"/>
    <d v="2020-04-26T00:00:00"/>
    <n v="21"/>
    <m/>
    <s v="Surrey"/>
    <s v="Customer Service"/>
    <s v="Cashier"/>
    <n v="31"/>
    <s v="M"/>
    <s v="Male"/>
    <x v="1"/>
    <x v="0"/>
    <s v="STORES"/>
  </r>
  <r>
    <x v="1323"/>
    <d v="1994-09-06T00:00:00"/>
    <d v="2020-04-08T00:00:00"/>
    <n v="26"/>
    <m/>
    <s v="Nanaimo"/>
    <s v="Customer Service"/>
    <s v="Cashier"/>
    <n v="18"/>
    <s v="M"/>
    <s v="Male"/>
    <x v="1"/>
    <x v="0"/>
    <s v="STORES"/>
  </r>
  <r>
    <x v="1324"/>
    <d v="1997-08-27T00:00:00"/>
    <d v="2020-09-23T00:00:00"/>
    <n v="23"/>
    <m/>
    <s v="Langley"/>
    <s v="Customer Service"/>
    <s v="Cashier"/>
    <n v="17"/>
    <s v="M"/>
    <s v="Male"/>
    <x v="1"/>
    <x v="0"/>
    <s v="STORES"/>
  </r>
  <r>
    <x v="1325"/>
    <d v="2010-07-14T00:00:00"/>
    <d v="2020-07-01T00:00:00"/>
    <n v="10"/>
    <m/>
    <s v="Chilliwack"/>
    <s v="Customer Service"/>
    <s v="Cashier"/>
    <n v="6"/>
    <s v="M"/>
    <s v="Male"/>
    <x v="1"/>
    <x v="0"/>
    <s v="STORES"/>
  </r>
  <r>
    <x v="1326"/>
    <d v="2011-01-13T00:00:00"/>
    <d v="2020-06-15T00:00:00"/>
    <n v="9"/>
    <m/>
    <s v="Vernon"/>
    <s v="Customer Service"/>
    <s v="Cashier"/>
    <n v="36"/>
    <s v="M"/>
    <s v="Male"/>
    <x v="1"/>
    <x v="0"/>
    <s v="STORES"/>
  </r>
  <r>
    <x v="1327"/>
    <d v="2014-02-14T00:00:00"/>
    <d v="2020-08-18T00:00:00"/>
    <n v="6"/>
    <m/>
    <s v="Squamish"/>
    <s v="Customer Service"/>
    <s v="Cashier"/>
    <n v="30"/>
    <s v="M"/>
    <s v="Male"/>
    <x v="1"/>
    <x v="0"/>
    <s v="STORES"/>
  </r>
  <r>
    <x v="1328"/>
    <d v="1996-01-26T00:00:00"/>
    <d v="2020-08-19T00:00:00"/>
    <n v="24"/>
    <m/>
    <s v="Haney"/>
    <s v="Meats"/>
    <s v="Meat Cutter"/>
    <n v="14"/>
    <s v="F"/>
    <s v="Female"/>
    <x v="2"/>
    <x v="0"/>
    <s v="STORES"/>
  </r>
  <r>
    <x v="1329"/>
    <d v="1991-04-18T00:00:00"/>
    <d v="2020-04-14T00:00:00"/>
    <n v="29"/>
    <m/>
    <s v="Prince George"/>
    <s v="Customer Service"/>
    <s v="Cashier"/>
    <n v="26"/>
    <s v="F"/>
    <s v="Female"/>
    <x v="1"/>
    <x v="0"/>
    <s v="STORES"/>
  </r>
  <r>
    <x v="1330"/>
    <d v="2014-06-08T00:00:00"/>
    <d v="2020-06-02T00:00:00"/>
    <n v="6"/>
    <m/>
    <s v="New Westminster"/>
    <s v="Processed Foods"/>
    <s v="Shelf Stocker"/>
    <n v="21"/>
    <s v="M"/>
    <s v="Male"/>
    <x v="1"/>
    <x v="0"/>
    <s v="STORES"/>
  </r>
  <r>
    <x v="1331"/>
    <d v="1997-07-09T00:00:00"/>
    <d v="2020-12-01T00:00:00"/>
    <n v="23"/>
    <m/>
    <s v="White Rock"/>
    <s v="Customer Service"/>
    <s v="Cashier"/>
    <n v="39"/>
    <s v="M"/>
    <s v="Male"/>
    <x v="2"/>
    <x v="0"/>
    <s v="STORES"/>
  </r>
  <r>
    <x v="1332"/>
    <d v="2014-10-13T00:00:00"/>
    <d v="2020-01-06T00:00:00"/>
    <n v="6"/>
    <m/>
    <s v="Prince George"/>
    <s v="Customer Service"/>
    <s v="Cashier"/>
    <n v="26"/>
    <s v="M"/>
    <s v="Male"/>
    <x v="1"/>
    <x v="0"/>
    <s v="STORES"/>
  </r>
  <r>
    <x v="1333"/>
    <d v="1996-02-09T00:00:00"/>
    <d v="2020-03-13T00:00:00"/>
    <n v="24"/>
    <m/>
    <s v="Chilliwack"/>
    <s v="Customer Service"/>
    <s v="Cashier"/>
    <n v="6"/>
    <s v="F"/>
    <s v="Female"/>
    <x v="1"/>
    <x v="0"/>
    <s v="STORES"/>
  </r>
  <r>
    <x v="1334"/>
    <d v="2014-12-02T00:00:00"/>
    <d v="2020-01-04T00:00:00"/>
    <n v="6"/>
    <m/>
    <s v="Nanaimo"/>
    <s v="Customer Service"/>
    <s v="Cashier"/>
    <n v="18"/>
    <s v="M"/>
    <s v="Male"/>
    <x v="1"/>
    <x v="0"/>
    <s v="STORES"/>
  </r>
  <r>
    <x v="1335"/>
    <d v="1997-12-04T00:00:00"/>
    <d v="2020-12-21T00:00:00"/>
    <n v="23"/>
    <m/>
    <s v="Squamish"/>
    <s v="Customer Service"/>
    <s v="Cashier"/>
    <n v="30"/>
    <s v="M"/>
    <s v="Male"/>
    <x v="1"/>
    <x v="0"/>
    <s v="STORES"/>
  </r>
  <r>
    <x v="1336"/>
    <d v="1999-05-02T00:00:00"/>
    <d v="2020-03-05T00:00:00"/>
    <n v="21"/>
    <m/>
    <s v="Vernon"/>
    <s v="Customer Service"/>
    <s v="Cashier"/>
    <n v="36"/>
    <s v="F"/>
    <s v="Female"/>
    <x v="1"/>
    <x v="0"/>
    <s v="STORES"/>
  </r>
  <r>
    <x v="1337"/>
    <d v="1997-09-26T00:00:00"/>
    <d v="2020-08-20T00:00:00"/>
    <n v="23"/>
    <m/>
    <s v="Surrey"/>
    <s v="Customer Service"/>
    <s v="Cashier"/>
    <n v="31"/>
    <s v="F"/>
    <s v="Female"/>
    <x v="1"/>
    <x v="0"/>
    <s v="STORES"/>
  </r>
  <r>
    <x v="1338"/>
    <d v="1993-03-07T00:00:00"/>
    <d v="2020-09-29T00:00:00"/>
    <n v="27"/>
    <m/>
    <s v="Prince George"/>
    <s v="Customer Service"/>
    <s v="Cashier"/>
    <n v="26"/>
    <s v="F"/>
    <s v="Female"/>
    <x v="1"/>
    <x v="0"/>
    <s v="STORES"/>
  </r>
  <r>
    <x v="1339"/>
    <d v="1999-07-31T00:00:00"/>
    <d v="2020-10-06T00:00:00"/>
    <n v="21"/>
    <m/>
    <s v="Surrey"/>
    <s v="Customer Service"/>
    <s v="Cashier"/>
    <n v="31"/>
    <s v="M"/>
    <s v="Male"/>
    <x v="1"/>
    <x v="0"/>
    <s v="STORES"/>
  </r>
  <r>
    <x v="1340"/>
    <d v="1993-10-26T00:00:00"/>
    <d v="2020-09-19T00:00:00"/>
    <n v="27"/>
    <m/>
    <s v="Victoria"/>
    <s v="Processed Foods"/>
    <s v="Shelf Stocker"/>
    <n v="46"/>
    <s v="F"/>
    <s v="Female"/>
    <x v="1"/>
    <x v="0"/>
    <s v="STORES"/>
  </r>
  <r>
    <x v="1341"/>
    <d v="2015-06-17T00:00:00"/>
    <d v="2020-01-21T00:00:00"/>
    <n v="5"/>
    <m/>
    <s v="Terrace"/>
    <s v="Customer Service"/>
    <s v="Cashier"/>
    <n v="32"/>
    <s v="F"/>
    <s v="Female"/>
    <x v="1"/>
    <x v="0"/>
    <s v="STORES"/>
  </r>
  <r>
    <x v="1342"/>
    <d v="2002-08-04T00:00:00"/>
    <d v="2020-12-24T00:00:00"/>
    <n v="18"/>
    <m/>
    <s v="Nanaimo"/>
    <s v="Customer Service"/>
    <s v="Cashier"/>
    <n v="18"/>
    <s v="F"/>
    <s v="Female"/>
    <x v="1"/>
    <x v="0"/>
    <s v="STORES"/>
  </r>
  <r>
    <x v="1343"/>
    <d v="2004-07-06T00:00:00"/>
    <d v="2020-06-07T00:00:00"/>
    <n v="16"/>
    <m/>
    <s v="Fort Nelson"/>
    <s v="Customer Service"/>
    <s v="Cashier"/>
    <n v="11"/>
    <s v="M"/>
    <s v="Male"/>
    <x v="2"/>
    <x v="0"/>
    <s v="STORES"/>
  </r>
  <r>
    <x v="1344"/>
    <d v="2003-09-07T00:00:00"/>
    <d v="2020-02-23T00:00:00"/>
    <n v="17"/>
    <m/>
    <s v="Vancouver"/>
    <s v="Bakery"/>
    <s v="Baker"/>
    <n v="44"/>
    <s v="F"/>
    <s v="Female"/>
    <x v="1"/>
    <x v="0"/>
    <s v="STORES"/>
  </r>
  <r>
    <x v="1345"/>
    <d v="2006-05-02T00:00:00"/>
    <d v="2020-12-19T00:00:00"/>
    <n v="14"/>
    <m/>
    <s v="Williams Lake"/>
    <s v="Customer Service"/>
    <s v="Cashier"/>
    <n v="40"/>
    <s v="M"/>
    <s v="Male"/>
    <x v="1"/>
    <x v="0"/>
    <s v="STORES"/>
  </r>
  <r>
    <x v="1346"/>
    <d v="2006-07-19T00:00:00"/>
    <d v="2020-04-01T00:00:00"/>
    <n v="14"/>
    <m/>
    <s v="Dawson Creek"/>
    <s v="Customer Service"/>
    <s v="Cashier"/>
    <n v="9"/>
    <s v="F"/>
    <s v="Female"/>
    <x v="2"/>
    <x v="0"/>
    <s v="STORES"/>
  </r>
  <r>
    <x v="1347"/>
    <d v="2002-11-08T00:00:00"/>
    <d v="2020-01-03T00:00:00"/>
    <n v="18"/>
    <m/>
    <s v="Terrace"/>
    <s v="Customer Service"/>
    <s v="Cashier"/>
    <n v="32"/>
    <s v="F"/>
    <s v="Female"/>
    <x v="1"/>
    <x v="0"/>
    <s v="STORES"/>
  </r>
  <r>
    <x v="1348"/>
    <d v="1994-07-04T00:00:00"/>
    <d v="2020-05-09T00:00:00"/>
    <n v="26"/>
    <m/>
    <s v="Nanaimo"/>
    <s v="Customer Service"/>
    <s v="Cashier"/>
    <n v="18"/>
    <s v="M"/>
    <s v="Male"/>
    <x v="1"/>
    <x v="0"/>
    <s v="STORES"/>
  </r>
  <r>
    <x v="1349"/>
    <d v="2004-05-24T00:00:00"/>
    <d v="2020-10-08T00:00:00"/>
    <n v="16"/>
    <m/>
    <s v="Victoria"/>
    <s v="Processed Foods"/>
    <s v="Shelf Stocker"/>
    <n v="46"/>
    <s v="F"/>
    <s v="Female"/>
    <x v="1"/>
    <x v="0"/>
    <s v="STORES"/>
  </r>
  <r>
    <x v="1350"/>
    <d v="1993-06-17T00:00:00"/>
    <d v="2020-06-14T00:00:00"/>
    <n v="27"/>
    <m/>
    <s v="Richmond"/>
    <s v="Customer Service"/>
    <s v="Cashier"/>
    <n v="29"/>
    <s v="M"/>
    <s v="Male"/>
    <x v="1"/>
    <x v="0"/>
    <s v="STORES"/>
  </r>
  <r>
    <x v="1351"/>
    <d v="2014-10-29T00:00:00"/>
    <d v="2020-05-01T00:00:00"/>
    <n v="6"/>
    <m/>
    <s v="Bella Bella"/>
    <s v="Customer Service"/>
    <s v="Cashier"/>
    <n v="3"/>
    <s v="F"/>
    <s v="Female"/>
    <x v="1"/>
    <x v="0"/>
    <s v="STORES"/>
  </r>
  <r>
    <x v="1352"/>
    <d v="2005-04-08T00:00:00"/>
    <d v="2020-07-18T00:00:00"/>
    <n v="15"/>
    <m/>
    <s v="Kelowna"/>
    <s v="Customer Service"/>
    <s v="Cashier"/>
    <n v="16"/>
    <s v="M"/>
    <s v="Male"/>
    <x v="1"/>
    <x v="0"/>
    <s v="STORES"/>
  </r>
  <r>
    <x v="1353"/>
    <d v="1996-09-19T00:00:00"/>
    <d v="2020-09-08T00:00:00"/>
    <n v="24"/>
    <m/>
    <s v="Kamloops"/>
    <s v="Customer Service"/>
    <s v="Cashier"/>
    <n v="15"/>
    <s v="F"/>
    <s v="Female"/>
    <x v="1"/>
    <x v="0"/>
    <s v="STORES"/>
  </r>
  <r>
    <x v="1354"/>
    <d v="2013-10-11T00:00:00"/>
    <d v="2020-08-18T00:00:00"/>
    <n v="7"/>
    <m/>
    <s v="Richmond"/>
    <s v="Customer Service"/>
    <s v="Cashier"/>
    <n v="29"/>
    <s v="F"/>
    <s v="Female"/>
    <x v="1"/>
    <x v="0"/>
    <s v="STORES"/>
  </r>
  <r>
    <x v="1355"/>
    <d v="1999-04-22T00:00:00"/>
    <d v="2020-08-07T00:00:00"/>
    <n v="21"/>
    <m/>
    <s v="Kamloops"/>
    <s v="Customer Service"/>
    <s v="Cashier"/>
    <n v="15"/>
    <s v="M"/>
    <s v="Male"/>
    <x v="1"/>
    <x v="0"/>
    <s v="STORES"/>
  </r>
  <r>
    <x v="1356"/>
    <d v="1993-03-07T00:00:00"/>
    <d v="2020-08-16T00:00:00"/>
    <n v="27"/>
    <m/>
    <s v="Surrey"/>
    <s v="Customer Service"/>
    <s v="Cashier"/>
    <n v="31"/>
    <s v="M"/>
    <s v="Male"/>
    <x v="1"/>
    <x v="0"/>
    <s v="STORES"/>
  </r>
  <r>
    <x v="1357"/>
    <d v="2004-08-16T00:00:00"/>
    <d v="2020-02-18T00:00:00"/>
    <n v="16"/>
    <m/>
    <s v="Victoria"/>
    <s v="Customer Service"/>
    <s v="Cashier"/>
    <n v="46"/>
    <s v="F"/>
    <s v="Female"/>
    <x v="1"/>
    <x v="0"/>
    <s v="STORES"/>
  </r>
  <r>
    <x v="1358"/>
    <d v="2000-10-30T00:00:00"/>
    <d v="2020-12-19T00:00:00"/>
    <n v="20"/>
    <m/>
    <s v="Abbotsford"/>
    <s v="Dairy"/>
    <s v="Dairy Person"/>
    <n v="1"/>
    <s v="F"/>
    <s v="Female"/>
    <x v="1"/>
    <x v="0"/>
    <s v="STORES"/>
  </r>
  <r>
    <x v="1359"/>
    <d v="1994-07-01T00:00:00"/>
    <d v="2020-12-10T00:00:00"/>
    <n v="26"/>
    <m/>
    <s v="Prince George"/>
    <s v="Customer Service"/>
    <s v="Cashier"/>
    <n v="26"/>
    <s v="F"/>
    <s v="Female"/>
    <x v="1"/>
    <x v="0"/>
    <s v="STORES"/>
  </r>
  <r>
    <x v="1360"/>
    <d v="2004-08-01T00:00:00"/>
    <d v="2020-09-07T00:00:00"/>
    <n v="16"/>
    <m/>
    <s v="North Vancouver"/>
    <s v="Customer Service"/>
    <s v="Cashier"/>
    <n v="22"/>
    <s v="M"/>
    <s v="Male"/>
    <x v="1"/>
    <x v="0"/>
    <s v="STORES"/>
  </r>
  <r>
    <x v="1361"/>
    <d v="2011-05-29T00:00:00"/>
    <d v="2020-06-17T00:00:00"/>
    <n v="9"/>
    <m/>
    <s v="Nanaimo"/>
    <s v="Customer Service"/>
    <s v="Cashier"/>
    <n v="18"/>
    <s v="F"/>
    <s v="Female"/>
    <x v="1"/>
    <x v="0"/>
    <s v="STORES"/>
  </r>
  <r>
    <x v="1362"/>
    <d v="2000-05-31T00:00:00"/>
    <d v="2020-08-04T00:00:00"/>
    <n v="20"/>
    <m/>
    <s v="Kamloops"/>
    <s v="Customer Service"/>
    <s v="Cashier"/>
    <n v="15"/>
    <s v="F"/>
    <s v="Female"/>
    <x v="1"/>
    <x v="0"/>
    <s v="STORES"/>
  </r>
  <r>
    <x v="1363"/>
    <d v="2001-06-09T00:00:00"/>
    <d v="2020-07-18T00:00:00"/>
    <n v="19"/>
    <m/>
    <s v="Victoria"/>
    <s v="Customer Service"/>
    <s v="Cashier"/>
    <n v="46"/>
    <s v="F"/>
    <s v="Female"/>
    <x v="1"/>
    <x v="0"/>
    <s v="STORES"/>
  </r>
  <r>
    <x v="1364"/>
    <d v="1997-02-01T00:00:00"/>
    <d v="2020-06-27T00:00:00"/>
    <n v="23"/>
    <m/>
    <s v="New Westminister"/>
    <s v="Processed Foods"/>
    <s v="Shelf Stocker"/>
    <n v="20"/>
    <s v="F"/>
    <s v="Female"/>
    <x v="2"/>
    <x v="0"/>
    <s v="STORES"/>
  </r>
  <r>
    <x v="1365"/>
    <d v="2001-06-05T00:00:00"/>
    <d v="2020-06-16T00:00:00"/>
    <n v="19"/>
    <m/>
    <s v="Grand Forks"/>
    <s v="Customer Service"/>
    <s v="Cashier"/>
    <n v="13"/>
    <s v="M"/>
    <s v="Male"/>
    <x v="2"/>
    <x v="0"/>
    <s v="STORES"/>
  </r>
  <r>
    <x v="1366"/>
    <d v="1990-10-23T00:00:00"/>
    <d v="2020-02-13T00:00:00"/>
    <n v="30"/>
    <m/>
    <s v="Dawson Creek"/>
    <s v="Customer Service"/>
    <s v="Cashier"/>
    <n v="9"/>
    <s v="F"/>
    <s v="Female"/>
    <x v="2"/>
    <x v="0"/>
    <s v="STORES"/>
  </r>
  <r>
    <x v="1367"/>
    <d v="2000-11-27T00:00:00"/>
    <d v="2020-04-27T00:00:00"/>
    <n v="20"/>
    <m/>
    <s v="Trail"/>
    <s v="Customer Service"/>
    <s v="Cashier"/>
    <n v="33"/>
    <s v="F"/>
    <s v="Female"/>
    <x v="1"/>
    <x v="0"/>
    <s v="STORES"/>
  </r>
  <r>
    <x v="1368"/>
    <d v="1996-04-22T00:00:00"/>
    <d v="2020-04-23T00:00:00"/>
    <n v="24"/>
    <m/>
    <s v="West Vancouver"/>
    <s v="Customer Service"/>
    <s v="Cashier"/>
    <n v="38"/>
    <s v="M"/>
    <s v="Male"/>
    <x v="1"/>
    <x v="0"/>
    <s v="STORES"/>
  </r>
  <r>
    <x v="1369"/>
    <d v="2009-10-25T00:00:00"/>
    <d v="2020-10-14T00:00:00"/>
    <n v="11"/>
    <m/>
    <s v="Squamish"/>
    <s v="Customer Service"/>
    <s v="Cashier"/>
    <n v="30"/>
    <s v="F"/>
    <s v="Female"/>
    <x v="1"/>
    <x v="0"/>
    <s v="STORES"/>
  </r>
  <r>
    <x v="1370"/>
    <d v="2003-11-07T00:00:00"/>
    <d v="2020-01-19T00:00:00"/>
    <n v="17"/>
    <m/>
    <s v="Victoria"/>
    <s v="Customer Service"/>
    <s v="Cashier"/>
    <n v="46"/>
    <s v="M"/>
    <s v="Male"/>
    <x v="1"/>
    <x v="0"/>
    <s v="STORES"/>
  </r>
  <r>
    <x v="1371"/>
    <d v="2000-06-09T00:00:00"/>
    <d v="2020-05-04T00:00:00"/>
    <n v="20"/>
    <m/>
    <s v="Victoria"/>
    <s v="Customer Service"/>
    <s v="Cashier"/>
    <n v="46"/>
    <s v="M"/>
    <s v="Male"/>
    <x v="1"/>
    <x v="0"/>
    <s v="STORES"/>
  </r>
  <r>
    <x v="1372"/>
    <d v="1993-06-01T00:00:00"/>
    <d v="2020-08-23T00:00:00"/>
    <n v="27"/>
    <m/>
    <s v="West Vancouver"/>
    <s v="Customer Service"/>
    <s v="Cashier"/>
    <n v="38"/>
    <s v="F"/>
    <s v="Female"/>
    <x v="1"/>
    <x v="0"/>
    <s v="STORES"/>
  </r>
  <r>
    <x v="1373"/>
    <d v="1990-01-15T00:00:00"/>
    <d v="2020-03-29T00:00:00"/>
    <n v="30"/>
    <m/>
    <s v="Surrey"/>
    <s v="Customer Service"/>
    <s v="Cashier"/>
    <n v="31"/>
    <s v="M"/>
    <s v="Male"/>
    <x v="1"/>
    <x v="0"/>
    <s v="STORES"/>
  </r>
  <r>
    <x v="1374"/>
    <d v="2010-04-26T00:00:00"/>
    <d v="2020-04-15T00:00:00"/>
    <n v="10"/>
    <m/>
    <s v="Victoria"/>
    <s v="Customer Service"/>
    <s v="Cashier"/>
    <n v="46"/>
    <s v="F"/>
    <s v="Female"/>
    <x v="1"/>
    <x v="0"/>
    <s v="STORES"/>
  </r>
  <r>
    <x v="1375"/>
    <d v="1999-07-30T00:00:00"/>
    <d v="2020-07-18T00:00:00"/>
    <n v="21"/>
    <m/>
    <s v="Kamloops"/>
    <s v="Customer Service"/>
    <s v="Cashier"/>
    <n v="15"/>
    <s v="M"/>
    <s v="Male"/>
    <x v="1"/>
    <x v="0"/>
    <s v="STORES"/>
  </r>
  <r>
    <x v="1376"/>
    <d v="2010-10-07T00:00:00"/>
    <d v="2020-01-19T00:00:00"/>
    <n v="10"/>
    <m/>
    <s v="Squamish"/>
    <s v="Customer Service"/>
    <s v="Cashier"/>
    <n v="30"/>
    <s v="M"/>
    <s v="Male"/>
    <x v="1"/>
    <x v="0"/>
    <s v="STORES"/>
  </r>
  <r>
    <x v="1377"/>
    <d v="1990-09-08T00:00:00"/>
    <d v="2020-08-20T00:00:00"/>
    <n v="30"/>
    <m/>
    <s v="New Westminister"/>
    <s v="Processed Foods"/>
    <s v="Shelf Stocker"/>
    <n v="20"/>
    <s v="F"/>
    <s v="Female"/>
    <x v="2"/>
    <x v="0"/>
    <s v="STORES"/>
  </r>
  <r>
    <x v="1378"/>
    <d v="2001-01-06T00:00:00"/>
    <d v="2020-04-25T00:00:00"/>
    <n v="19"/>
    <m/>
    <s v="West Vancouver"/>
    <s v="Customer Service"/>
    <s v="Cashier"/>
    <n v="38"/>
    <s v="M"/>
    <s v="Male"/>
    <x v="1"/>
    <x v="0"/>
    <s v="STORES"/>
  </r>
  <r>
    <x v="1379"/>
    <d v="1996-08-29T00:00:00"/>
    <d v="2020-10-07T00:00:00"/>
    <n v="24"/>
    <m/>
    <s v="Kelowna"/>
    <s v="Customer Service"/>
    <s v="Cashier"/>
    <n v="16"/>
    <s v="M"/>
    <s v="Male"/>
    <x v="1"/>
    <x v="0"/>
    <s v="STORES"/>
  </r>
  <r>
    <x v="1380"/>
    <d v="2011-01-10T00:00:00"/>
    <d v="2020-03-02T00:00:00"/>
    <n v="9"/>
    <m/>
    <s v="North Vancouver"/>
    <s v="Customer Service"/>
    <s v="Cashier"/>
    <n v="22"/>
    <s v="F"/>
    <s v="Female"/>
    <x v="1"/>
    <x v="0"/>
    <s v="STORES"/>
  </r>
  <r>
    <x v="1381"/>
    <d v="2013-07-27T00:00:00"/>
    <d v="2020-03-26T00:00:00"/>
    <n v="7"/>
    <m/>
    <s v="Nanaimo"/>
    <s v="Customer Service"/>
    <s v="Cashier"/>
    <n v="18"/>
    <s v="M"/>
    <s v="Male"/>
    <x v="1"/>
    <x v="0"/>
    <s v="STORES"/>
  </r>
  <r>
    <x v="1382"/>
    <d v="2013-08-17T00:00:00"/>
    <d v="2020-08-26T00:00:00"/>
    <n v="7"/>
    <m/>
    <s v="Chilliwack"/>
    <s v="Customer Service"/>
    <s v="Cashier"/>
    <n v="6"/>
    <s v="M"/>
    <s v="Male"/>
    <x v="1"/>
    <x v="0"/>
    <s v="STORES"/>
  </r>
  <r>
    <x v="1383"/>
    <d v="1999-10-21T00:00:00"/>
    <d v="2020-02-11T00:00:00"/>
    <n v="21"/>
    <m/>
    <s v="Kamloops"/>
    <s v="Customer Service"/>
    <s v="Cashier"/>
    <n v="15"/>
    <s v="M"/>
    <s v="Male"/>
    <x v="1"/>
    <x v="0"/>
    <s v="STORES"/>
  </r>
  <r>
    <x v="1384"/>
    <d v="2006-12-08T00:00:00"/>
    <d v="2020-01-18T00:00:00"/>
    <n v="14"/>
    <m/>
    <s v="White Rock"/>
    <s v="Customer Service"/>
    <s v="Cashier"/>
    <n v="39"/>
    <s v="M"/>
    <s v="Male"/>
    <x v="2"/>
    <x v="0"/>
    <s v="STORES"/>
  </r>
  <r>
    <x v="1385"/>
    <d v="1998-12-28T00:00:00"/>
    <d v="2020-05-30T00:00:00"/>
    <n v="22"/>
    <m/>
    <s v="Victoria"/>
    <s v="Customer Service"/>
    <s v="Cashier"/>
    <n v="46"/>
    <s v="M"/>
    <s v="Male"/>
    <x v="1"/>
    <x v="0"/>
    <s v="STORES"/>
  </r>
  <r>
    <x v="1386"/>
    <d v="1993-01-20T00:00:00"/>
    <d v="2020-03-16T00:00:00"/>
    <n v="27"/>
    <m/>
    <s v="Nanaimo"/>
    <s v="Customer Service"/>
    <s v="Cashier"/>
    <n v="18"/>
    <s v="M"/>
    <s v="Male"/>
    <x v="1"/>
    <x v="0"/>
    <s v="STORES"/>
  </r>
  <r>
    <x v="1387"/>
    <d v="2002-09-26T00:00:00"/>
    <d v="2020-08-02T00:00:00"/>
    <n v="18"/>
    <m/>
    <s v="Princeton"/>
    <s v="Customer Service"/>
    <s v="Cashier"/>
    <n v="27"/>
    <s v="F"/>
    <s v="Female"/>
    <x v="2"/>
    <x v="0"/>
    <s v="STORES"/>
  </r>
  <r>
    <x v="1388"/>
    <d v="2014-01-25T00:00:00"/>
    <d v="2020-09-24T00:00:00"/>
    <n v="6"/>
    <m/>
    <s v="Haney"/>
    <s v="Bakery"/>
    <s v="Baker"/>
    <n v="14"/>
    <s v="F"/>
    <s v="Female"/>
    <x v="2"/>
    <x v="0"/>
    <s v="STORES"/>
  </r>
  <r>
    <x v="1389"/>
    <d v="2009-03-06T00:00:00"/>
    <d v="2020-03-10T00:00:00"/>
    <n v="11"/>
    <m/>
    <s v="Vancouver"/>
    <s v="Dairy"/>
    <s v="Dairy Person"/>
    <n v="44"/>
    <s v="F"/>
    <s v="Female"/>
    <x v="1"/>
    <x v="0"/>
    <s v="STORES"/>
  </r>
  <r>
    <x v="1390"/>
    <d v="1995-06-15T00:00:00"/>
    <d v="2020-02-12T00:00:00"/>
    <n v="25"/>
    <m/>
    <s v="Dawson Creek"/>
    <s v="Customer Service"/>
    <s v="Cashier"/>
    <n v="9"/>
    <s v="M"/>
    <s v="Male"/>
    <x v="2"/>
    <x v="0"/>
    <s v="STORES"/>
  </r>
  <r>
    <x v="1391"/>
    <d v="2009-02-20T00:00:00"/>
    <d v="2020-09-01T00:00:00"/>
    <n v="11"/>
    <m/>
    <s v="New Westminister"/>
    <s v="Processed Foods"/>
    <s v="Shelf Stocker"/>
    <n v="20"/>
    <s v="F"/>
    <s v="Female"/>
    <x v="2"/>
    <x v="0"/>
    <s v="STORES"/>
  </r>
  <r>
    <x v="1392"/>
    <d v="2001-03-12T00:00:00"/>
    <d v="2020-07-30T00:00:00"/>
    <n v="19"/>
    <m/>
    <s v="Chilliwack"/>
    <s v="Customer Service"/>
    <s v="Cashier"/>
    <n v="6"/>
    <s v="M"/>
    <s v="Male"/>
    <x v="1"/>
    <x v="0"/>
    <s v="STORES"/>
  </r>
  <r>
    <x v="1393"/>
    <d v="2001-11-16T00:00:00"/>
    <d v="2020-11-25T00:00:00"/>
    <n v="19"/>
    <m/>
    <s v="Abbotsford"/>
    <s v="Dairy"/>
    <s v="Dairy Person"/>
    <n v="1"/>
    <s v="F"/>
    <s v="Female"/>
    <x v="1"/>
    <x v="0"/>
    <s v="STORES"/>
  </r>
  <r>
    <x v="1394"/>
    <d v="1997-11-26T00:00:00"/>
    <d v="2020-02-24T00:00:00"/>
    <n v="23"/>
    <m/>
    <s v="New Westminister"/>
    <s v="Customer Service"/>
    <s v="Cashier"/>
    <n v="20"/>
    <s v="F"/>
    <s v="Female"/>
    <x v="2"/>
    <x v="0"/>
    <s v="STORES"/>
  </r>
  <r>
    <x v="1395"/>
    <d v="2006-07-11T00:00:00"/>
    <d v="2020-04-25T00:00:00"/>
    <n v="14"/>
    <m/>
    <s v="Vancouver"/>
    <s v="Processed Foods"/>
    <s v="Shelf Stocker"/>
    <n v="44"/>
    <s v="F"/>
    <s v="Female"/>
    <x v="1"/>
    <x v="0"/>
    <s v="STORES"/>
  </r>
  <r>
    <x v="1396"/>
    <d v="2010-07-24T00:00:00"/>
    <d v="2020-09-12T00:00:00"/>
    <n v="10"/>
    <m/>
    <s v="Vancouver"/>
    <s v="Processed Foods"/>
    <s v="Shelf Stocker"/>
    <n v="44"/>
    <s v="M"/>
    <s v="Male"/>
    <x v="1"/>
    <x v="0"/>
    <s v="STORES"/>
  </r>
  <r>
    <x v="1397"/>
    <d v="2003-12-03T00:00:00"/>
    <d v="2020-08-20T00:00:00"/>
    <n v="17"/>
    <m/>
    <s v="Princeton"/>
    <s v="Customer Service"/>
    <s v="Cashier"/>
    <n v="27"/>
    <s v="F"/>
    <s v="Female"/>
    <x v="2"/>
    <x v="0"/>
    <s v="STORES"/>
  </r>
  <r>
    <x v="1398"/>
    <d v="2004-09-01T00:00:00"/>
    <d v="2020-01-31T00:00:00"/>
    <n v="16"/>
    <m/>
    <s v="Haney"/>
    <s v="Dairy"/>
    <s v="Dairy Person"/>
    <n v="14"/>
    <s v="F"/>
    <s v="Female"/>
    <x v="2"/>
    <x v="0"/>
    <s v="STORES"/>
  </r>
  <r>
    <x v="1399"/>
    <d v="2000-07-03T00:00:00"/>
    <d v="2020-02-17T00:00:00"/>
    <n v="20"/>
    <m/>
    <s v="Fort Nelson"/>
    <s v="Customer Service"/>
    <s v="Cashier"/>
    <n v="11"/>
    <s v="M"/>
    <s v="Male"/>
    <x v="2"/>
    <x v="0"/>
    <s v="STORES"/>
  </r>
  <r>
    <x v="1400"/>
    <d v="2014-08-08T00:00:00"/>
    <d v="2020-05-15T00:00:00"/>
    <n v="6"/>
    <m/>
    <s v="Vancouver"/>
    <s v="Processed Foods"/>
    <s v="Shelf Stocker"/>
    <n v="44"/>
    <s v="F"/>
    <s v="Female"/>
    <x v="1"/>
    <x v="0"/>
    <s v="STORES"/>
  </r>
  <r>
    <x v="1401"/>
    <d v="2009-08-25T00:00:00"/>
    <d v="2020-01-13T00:00:00"/>
    <n v="11"/>
    <m/>
    <s v="Fort Nelson"/>
    <s v="Customer Service"/>
    <s v="Cashier"/>
    <n v="11"/>
    <s v="F"/>
    <s v="Female"/>
    <x v="2"/>
    <x v="0"/>
    <s v="STORES"/>
  </r>
  <r>
    <x v="1402"/>
    <d v="1996-04-12T00:00:00"/>
    <d v="2020-02-18T00:00:00"/>
    <n v="24"/>
    <m/>
    <s v="Princeton"/>
    <s v="Customer Service"/>
    <s v="Cashier"/>
    <n v="27"/>
    <s v="F"/>
    <s v="Female"/>
    <x v="2"/>
    <x v="0"/>
    <s v="STORES"/>
  </r>
  <r>
    <x v="1403"/>
    <d v="2015-08-25T00:00:00"/>
    <d v="2020-08-15T00:00:00"/>
    <n v="5"/>
    <m/>
    <s v="Fort Nelson"/>
    <s v="Customer Service"/>
    <s v="Cashier"/>
    <n v="11"/>
    <s v="F"/>
    <s v="Female"/>
    <x v="2"/>
    <x v="0"/>
    <s v="STORES"/>
  </r>
  <r>
    <x v="1404"/>
    <d v="1991-01-10T00:00:00"/>
    <d v="2020-09-21T00:00:00"/>
    <n v="29"/>
    <m/>
    <s v="Dawson Creek"/>
    <s v="Customer Service"/>
    <s v="Cashier"/>
    <n v="9"/>
    <s v="F"/>
    <s v="Female"/>
    <x v="2"/>
    <x v="0"/>
    <s v="STORES"/>
  </r>
  <r>
    <x v="1405"/>
    <d v="2015-04-02T00:00:00"/>
    <d v="2020-04-09T00:00:00"/>
    <n v="5"/>
    <m/>
    <s v="Vancouver"/>
    <s v="Customer Service"/>
    <s v="Cashier"/>
    <n v="44"/>
    <s v="M"/>
    <s v="Male"/>
    <x v="1"/>
    <x v="0"/>
    <s v="STORES"/>
  </r>
  <r>
    <x v="1406"/>
    <d v="2005-10-20T00:00:00"/>
    <d v="2020-01-24T00:00:00"/>
    <n v="15"/>
    <m/>
    <s v="Williams Lake"/>
    <s v="Customer Service"/>
    <s v="Cashier"/>
    <n v="40"/>
    <s v="M"/>
    <s v="Male"/>
    <x v="1"/>
    <x v="0"/>
    <s v="STORES"/>
  </r>
  <r>
    <x v="1407"/>
    <d v="1995-08-01T00:00:00"/>
    <d v="2020-04-16T00:00:00"/>
    <n v="25"/>
    <m/>
    <s v="Victoria"/>
    <s v="Customer Service"/>
    <s v="Cashier"/>
    <n v="46"/>
    <s v="F"/>
    <s v="Female"/>
    <x v="1"/>
    <x v="0"/>
    <s v="STORES"/>
  </r>
  <r>
    <x v="1408"/>
    <d v="1993-06-30T00:00:00"/>
    <d v="2020-08-03T00:00:00"/>
    <n v="27"/>
    <m/>
    <s v="Kelowna"/>
    <s v="Customer Service"/>
    <s v="Cashier"/>
    <n v="16"/>
    <s v="F"/>
    <s v="Female"/>
    <x v="1"/>
    <x v="0"/>
    <s v="STORES"/>
  </r>
  <r>
    <x v="1409"/>
    <d v="2003-02-06T00:00:00"/>
    <d v="2020-01-11T00:00:00"/>
    <n v="17"/>
    <m/>
    <s v="Vancouver"/>
    <s v="Customer Service"/>
    <s v="Cashier"/>
    <n v="44"/>
    <s v="M"/>
    <s v="Male"/>
    <x v="1"/>
    <x v="0"/>
    <s v="STORES"/>
  </r>
  <r>
    <x v="1410"/>
    <d v="2013-01-30T00:00:00"/>
    <d v="2020-01-23T00:00:00"/>
    <n v="7"/>
    <m/>
    <s v="Pitt Meadows"/>
    <s v="Dairy"/>
    <s v="Dairy Person"/>
    <n v="24"/>
    <s v="F"/>
    <s v="Female"/>
    <x v="2"/>
    <x v="0"/>
    <s v="STORES"/>
  </r>
  <r>
    <x v="1411"/>
    <d v="2002-12-14T00:00:00"/>
    <d v="2020-06-29T00:00:00"/>
    <n v="18"/>
    <m/>
    <s v="Vernon"/>
    <s v="Customer Service"/>
    <s v="Cashier"/>
    <n v="36"/>
    <s v="F"/>
    <s v="Female"/>
    <x v="1"/>
    <x v="0"/>
    <s v="STORES"/>
  </r>
  <r>
    <x v="1412"/>
    <d v="2003-03-12T00:00:00"/>
    <d v="2020-05-24T00:00:00"/>
    <n v="17"/>
    <m/>
    <s v="Victoria"/>
    <s v="Customer Service"/>
    <s v="Cashier"/>
    <n v="46"/>
    <s v="M"/>
    <s v="Male"/>
    <x v="1"/>
    <x v="0"/>
    <s v="STORES"/>
  </r>
  <r>
    <x v="1413"/>
    <d v="2014-12-06T00:00:00"/>
    <d v="2020-09-05T00:00:00"/>
    <n v="6"/>
    <m/>
    <s v="Kelowna"/>
    <s v="Customer Service"/>
    <s v="Cashier"/>
    <n v="16"/>
    <s v="M"/>
    <s v="Male"/>
    <x v="1"/>
    <x v="0"/>
    <s v="STORES"/>
  </r>
  <r>
    <x v="1414"/>
    <d v="2002-10-01T00:00:00"/>
    <d v="2020-09-05T00:00:00"/>
    <n v="18"/>
    <m/>
    <s v="Kamloops"/>
    <s v="Customer Service"/>
    <s v="Cashier"/>
    <n v="15"/>
    <s v="M"/>
    <s v="Male"/>
    <x v="1"/>
    <x v="0"/>
    <s v="STORES"/>
  </r>
  <r>
    <x v="1415"/>
    <d v="2000-01-09T00:00:00"/>
    <d v="2020-01-19T00:00:00"/>
    <n v="20"/>
    <m/>
    <s v="New Westminster"/>
    <s v="Customer Service"/>
    <s v="Cashier"/>
    <n v="21"/>
    <s v="F"/>
    <s v="Female"/>
    <x v="1"/>
    <x v="0"/>
    <s v="STORES"/>
  </r>
  <r>
    <x v="1416"/>
    <d v="2001-06-22T00:00:00"/>
    <d v="2020-01-19T00:00:00"/>
    <n v="19"/>
    <m/>
    <s v="Vancouver"/>
    <s v="Customer Service"/>
    <s v="Cashier"/>
    <n v="44"/>
    <s v="M"/>
    <s v="Male"/>
    <x v="1"/>
    <x v="0"/>
    <s v="STORES"/>
  </r>
  <r>
    <x v="1417"/>
    <d v="1996-07-02T00:00:00"/>
    <d v="2020-04-17T00:00:00"/>
    <n v="24"/>
    <m/>
    <s v="New Westminster"/>
    <s v="Customer Service"/>
    <s v="Cashier"/>
    <n v="21"/>
    <s v="F"/>
    <s v="Female"/>
    <x v="1"/>
    <x v="0"/>
    <s v="STORES"/>
  </r>
  <r>
    <x v="1418"/>
    <d v="2007-12-30T00:00:00"/>
    <d v="2020-12-25T00:00:00"/>
    <n v="13"/>
    <m/>
    <s v="Vancouver"/>
    <s v="Customer Service"/>
    <s v="Cashier"/>
    <n v="44"/>
    <s v="M"/>
    <s v="Male"/>
    <x v="1"/>
    <x v="0"/>
    <s v="STORES"/>
  </r>
  <r>
    <x v="1419"/>
    <d v="1998-05-15T00:00:00"/>
    <d v="2020-03-04T00:00:00"/>
    <n v="22"/>
    <m/>
    <s v="Prince George"/>
    <s v="Customer Service"/>
    <s v="Cashier"/>
    <n v="26"/>
    <s v="F"/>
    <s v="Female"/>
    <x v="1"/>
    <x v="0"/>
    <s v="STORES"/>
  </r>
  <r>
    <x v="1420"/>
    <d v="1991-11-12T00:00:00"/>
    <d v="2020-10-06T00:00:00"/>
    <n v="29"/>
    <m/>
    <s v="Victoria"/>
    <s v="Customer Service"/>
    <s v="Cashier"/>
    <n v="46"/>
    <s v="M"/>
    <s v="Male"/>
    <x v="1"/>
    <x v="0"/>
    <s v="STORES"/>
  </r>
  <r>
    <x v="1421"/>
    <d v="2015-03-28T00:00:00"/>
    <d v="2020-11-22T00:00:00"/>
    <n v="5"/>
    <m/>
    <s v="Nanaimo"/>
    <s v="Customer Service"/>
    <s v="Cashier"/>
    <n v="18"/>
    <s v="M"/>
    <s v="Male"/>
    <x v="1"/>
    <x v="0"/>
    <s v="STORES"/>
  </r>
  <r>
    <x v="1422"/>
    <d v="2007-07-30T00:00:00"/>
    <d v="2020-02-02T00:00:00"/>
    <n v="13"/>
    <m/>
    <s v="Nanaimo"/>
    <s v="Customer Service"/>
    <s v="Cashier"/>
    <n v="18"/>
    <s v="M"/>
    <s v="Male"/>
    <x v="1"/>
    <x v="0"/>
    <s v="STORES"/>
  </r>
  <r>
    <x v="1423"/>
    <d v="1995-10-24T00:00:00"/>
    <d v="2020-04-16T00:00:00"/>
    <n v="25"/>
    <m/>
    <s v="New Westminster"/>
    <s v="Customer Service"/>
    <s v="Cashier"/>
    <n v="21"/>
    <s v="M"/>
    <s v="Male"/>
    <x v="1"/>
    <x v="0"/>
    <s v="STORES"/>
  </r>
  <r>
    <x v="1424"/>
    <d v="2001-09-15T00:00:00"/>
    <d v="2020-08-12T00:00:00"/>
    <n v="19"/>
    <m/>
    <s v="Grand Forks"/>
    <s v="Customer Service"/>
    <s v="Cashier"/>
    <n v="13"/>
    <s v="M"/>
    <s v="Male"/>
    <x v="2"/>
    <x v="0"/>
    <s v="STORES"/>
  </r>
  <r>
    <x v="1425"/>
    <d v="2004-11-27T00:00:00"/>
    <d v="2020-01-07T00:00:00"/>
    <n v="16"/>
    <m/>
    <s v="New Westminister"/>
    <s v="Customer Service"/>
    <s v="Cashier"/>
    <n v="20"/>
    <s v="F"/>
    <s v="Female"/>
    <x v="1"/>
    <x v="0"/>
    <s v="STORES"/>
  </r>
  <r>
    <x v="1426"/>
    <d v="2005-04-15T00:00:00"/>
    <d v="2020-02-06T00:00:00"/>
    <n v="15"/>
    <m/>
    <s v="Fort Nelson"/>
    <s v="Customer Service"/>
    <s v="Cashier"/>
    <n v="11"/>
    <s v="M"/>
    <s v="Male"/>
    <x v="2"/>
    <x v="0"/>
    <s v="STORES"/>
  </r>
  <r>
    <x v="1427"/>
    <d v="2009-04-02T00:00:00"/>
    <d v="2020-07-25T00:00:00"/>
    <n v="11"/>
    <m/>
    <s v="New Westminister"/>
    <s v="Customer Service"/>
    <s v="Cashier"/>
    <n v="20"/>
    <s v="M"/>
    <s v="Male"/>
    <x v="2"/>
    <x v="0"/>
    <s v="STORES"/>
  </r>
  <r>
    <x v="1428"/>
    <d v="2003-04-14T00:00:00"/>
    <d v="2020-12-30T00:00:00"/>
    <n v="17"/>
    <m/>
    <s v="New Westminister"/>
    <s v="Customer Service"/>
    <s v="Cashier"/>
    <n v="20"/>
    <s v="M"/>
    <s v="Male"/>
    <x v="2"/>
    <x v="0"/>
    <s v="STORES"/>
  </r>
  <r>
    <x v="1429"/>
    <d v="2012-11-26T00:00:00"/>
    <d v="2020-03-13T00:00:00"/>
    <n v="8"/>
    <m/>
    <s v="Squamish"/>
    <s v="Customer Service"/>
    <s v="Cashier"/>
    <n v="30"/>
    <s v="F"/>
    <s v="Female"/>
    <x v="1"/>
    <x v="0"/>
    <s v="STORES"/>
  </r>
  <r>
    <x v="1430"/>
    <d v="2009-06-04T00:00:00"/>
    <d v="2020-02-11T00:00:00"/>
    <n v="11"/>
    <m/>
    <s v="New Westminister"/>
    <s v="Customer Service"/>
    <s v="Cashier"/>
    <n v="20"/>
    <s v="F"/>
    <s v="Female"/>
    <x v="2"/>
    <x v="0"/>
    <s v="STORES"/>
  </r>
  <r>
    <x v="1431"/>
    <d v="2006-12-05T00:00:00"/>
    <d v="2020-12-29T00:00:00"/>
    <n v="14"/>
    <m/>
    <s v="Fort Nelson"/>
    <s v="Customer Service"/>
    <s v="Cashier"/>
    <n v="11"/>
    <s v="F"/>
    <s v="Female"/>
    <x v="2"/>
    <x v="0"/>
    <s v="STORES"/>
  </r>
  <r>
    <x v="1432"/>
    <d v="1994-12-08T00:00:00"/>
    <d v="2020-12-20T00:00:00"/>
    <n v="26"/>
    <m/>
    <s v="New Westminister"/>
    <s v="Customer Service"/>
    <s v="Cashier"/>
    <n v="20"/>
    <s v="M"/>
    <s v="Male"/>
    <x v="2"/>
    <x v="0"/>
    <s v="STORES"/>
  </r>
  <r>
    <x v="1433"/>
    <d v="2011-02-28T00:00:00"/>
    <d v="2020-11-10T00:00:00"/>
    <n v="9"/>
    <m/>
    <s v="Aldergrove"/>
    <s v="Customer Service"/>
    <s v="Cashier"/>
    <n v="2"/>
    <s v="F"/>
    <s v="Female"/>
    <x v="1"/>
    <x v="0"/>
    <s v="STORES"/>
  </r>
  <r>
    <x v="1434"/>
    <d v="2008-10-10T00:00:00"/>
    <d v="2020-11-30T00:00:00"/>
    <n v="12"/>
    <m/>
    <s v="New Westminister"/>
    <s v="Customer Service"/>
    <s v="Cashier"/>
    <n v="20"/>
    <s v="F"/>
    <s v="Female"/>
    <x v="2"/>
    <x v="0"/>
    <s v="STORES"/>
  </r>
  <r>
    <x v="1435"/>
    <d v="2003-09-02T00:00:00"/>
    <d v="2020-07-06T00:00:00"/>
    <n v="17"/>
    <m/>
    <s v="Grand Forks"/>
    <s v="Customer Service"/>
    <s v="Cashier"/>
    <n v="13"/>
    <s v="F"/>
    <s v="Female"/>
    <x v="2"/>
    <x v="0"/>
    <s v="STORES"/>
  </r>
  <r>
    <x v="1436"/>
    <d v="2011-10-11T00:00:00"/>
    <d v="2020-01-12T00:00:00"/>
    <n v="9"/>
    <m/>
    <s v="Fort Nelson"/>
    <s v="Customer Service"/>
    <s v="Cashier"/>
    <n v="11"/>
    <s v="F"/>
    <s v="Female"/>
    <x v="2"/>
    <x v="0"/>
    <s v="STORES"/>
  </r>
  <r>
    <x v="1437"/>
    <d v="1995-05-23T00:00:00"/>
    <d v="2020-06-03T00:00:00"/>
    <n v="25"/>
    <m/>
    <s v="Cranbrook"/>
    <s v="Customer Service"/>
    <s v="Cashier"/>
    <n v="8"/>
    <s v="M"/>
    <s v="Male"/>
    <x v="1"/>
    <x v="0"/>
    <s v="STORES"/>
  </r>
  <r>
    <x v="1438"/>
    <d v="1991-10-28T00:00:00"/>
    <d v="2020-07-05T00:00:00"/>
    <n v="29"/>
    <m/>
    <s v="Vancouver"/>
    <s v="Customer Service"/>
    <s v="Cashier"/>
    <n v="44"/>
    <s v="F"/>
    <s v="Female"/>
    <x v="1"/>
    <x v="0"/>
    <s v="STORES"/>
  </r>
  <r>
    <x v="1439"/>
    <d v="1997-11-23T00:00:00"/>
    <d v="2020-03-27T00:00:00"/>
    <n v="23"/>
    <m/>
    <s v="Prince George"/>
    <s v="Customer Service"/>
    <s v="Cashier"/>
    <n v="26"/>
    <s v="M"/>
    <s v="Male"/>
    <x v="1"/>
    <x v="0"/>
    <s v="STORES"/>
  </r>
  <r>
    <x v="1440"/>
    <d v="2010-05-17T00:00:00"/>
    <d v="2020-04-15T00:00:00"/>
    <n v="10"/>
    <m/>
    <s v="Surrey"/>
    <s v="Customer Service"/>
    <s v="Cashier"/>
    <n v="31"/>
    <s v="M"/>
    <s v="Male"/>
    <x v="1"/>
    <x v="0"/>
    <s v="STORES"/>
  </r>
  <r>
    <x v="1441"/>
    <d v="1992-01-29T00:00:00"/>
    <d v="2020-03-15T00:00:00"/>
    <n v="28"/>
    <m/>
    <s v="Chilliwack"/>
    <s v="Customer Service"/>
    <s v="Cashier"/>
    <n v="6"/>
    <s v="F"/>
    <s v="Female"/>
    <x v="1"/>
    <x v="0"/>
    <s v="STORES"/>
  </r>
  <r>
    <x v="1442"/>
    <d v="1992-05-28T00:00:00"/>
    <d v="2020-03-26T00:00:00"/>
    <n v="28"/>
    <m/>
    <s v="Vancouver"/>
    <s v="Customer Service"/>
    <s v="Cashier"/>
    <n v="44"/>
    <s v="M"/>
    <s v="Male"/>
    <x v="1"/>
    <x v="0"/>
    <s v="STORES"/>
  </r>
  <r>
    <x v="1443"/>
    <d v="1994-11-15T00:00:00"/>
    <d v="2020-10-23T00:00:00"/>
    <n v="26"/>
    <m/>
    <s v="New Westminster"/>
    <s v="Customer Service"/>
    <s v="Cashier"/>
    <n v="21"/>
    <s v="M"/>
    <s v="Male"/>
    <x v="1"/>
    <x v="0"/>
    <s v="STORES"/>
  </r>
  <r>
    <x v="1444"/>
    <d v="1995-05-23T00:00:00"/>
    <d v="2020-10-14T00:00:00"/>
    <n v="25"/>
    <m/>
    <s v="Kamloops"/>
    <s v="Customer Service"/>
    <s v="Cashier"/>
    <n v="15"/>
    <s v="M"/>
    <s v="Male"/>
    <x v="1"/>
    <x v="0"/>
    <s v="STORES"/>
  </r>
  <r>
    <x v="1445"/>
    <d v="2008-02-10T00:00:00"/>
    <d v="2020-11-29T00:00:00"/>
    <n v="12"/>
    <m/>
    <s v="Victoria"/>
    <s v="Customer Service"/>
    <s v="Cashier"/>
    <n v="46"/>
    <s v="M"/>
    <s v="Male"/>
    <x v="1"/>
    <x v="0"/>
    <s v="STORES"/>
  </r>
  <r>
    <x v="1446"/>
    <d v="1996-03-12T00:00:00"/>
    <d v="2020-05-27T00:00:00"/>
    <n v="24"/>
    <m/>
    <s v="Kelowna"/>
    <s v="Customer Service"/>
    <s v="Cashier"/>
    <n v="16"/>
    <s v="M"/>
    <s v="Male"/>
    <x v="1"/>
    <x v="0"/>
    <s v="STORES"/>
  </r>
  <r>
    <x v="1447"/>
    <d v="1999-09-19T00:00:00"/>
    <d v="2020-08-18T00:00:00"/>
    <n v="21"/>
    <m/>
    <s v="Kamloops"/>
    <s v="Customer Service"/>
    <s v="Cashier"/>
    <n v="15"/>
    <s v="M"/>
    <s v="Male"/>
    <x v="1"/>
    <x v="0"/>
    <s v="STORES"/>
  </r>
  <r>
    <x v="1448"/>
    <d v="2007-02-22T00:00:00"/>
    <d v="2020-08-09T00:00:00"/>
    <n v="13"/>
    <m/>
    <s v="Vancouver"/>
    <s v="Customer Service"/>
    <s v="Cashier"/>
    <n v="44"/>
    <s v="F"/>
    <s v="Female"/>
    <x v="1"/>
    <x v="0"/>
    <s v="STORES"/>
  </r>
  <r>
    <x v="1449"/>
    <d v="2003-12-06T00:00:00"/>
    <d v="2020-05-06T00:00:00"/>
    <n v="17"/>
    <m/>
    <s v="Terrace"/>
    <s v="Customer Service"/>
    <s v="Cashier"/>
    <n v="32"/>
    <s v="M"/>
    <s v="Male"/>
    <x v="1"/>
    <x v="0"/>
    <s v="STORES"/>
  </r>
  <r>
    <x v="1450"/>
    <d v="2009-03-08T00:00:00"/>
    <d v="2020-01-17T00:00:00"/>
    <n v="11"/>
    <m/>
    <s v="Chilliwack"/>
    <s v="Customer Service"/>
    <s v="Cashier"/>
    <n v="6"/>
    <s v="M"/>
    <s v="Male"/>
    <x v="1"/>
    <x v="0"/>
    <s v="STORES"/>
  </r>
  <r>
    <x v="1451"/>
    <d v="2006-01-29T00:00:00"/>
    <d v="2020-04-06T00:00:00"/>
    <n v="14"/>
    <m/>
    <s v="Nanaimo"/>
    <s v="Customer Service"/>
    <s v="Cashier"/>
    <n v="18"/>
    <s v="F"/>
    <s v="Female"/>
    <x v="1"/>
    <x v="0"/>
    <s v="STORES"/>
  </r>
  <r>
    <x v="1452"/>
    <d v="1999-12-06T00:00:00"/>
    <d v="2020-05-09T00:00:00"/>
    <n v="21"/>
    <m/>
    <s v="Vancouver"/>
    <s v="Customer Service"/>
    <s v="Cashier"/>
    <n v="44"/>
    <s v="F"/>
    <s v="Female"/>
    <x v="1"/>
    <x v="0"/>
    <s v="STORES"/>
  </r>
  <r>
    <x v="1453"/>
    <d v="2006-09-15T00:00:00"/>
    <d v="2020-11-09T00:00:00"/>
    <n v="14"/>
    <m/>
    <s v="Vancouver"/>
    <s v="Customer Service"/>
    <s v="Cashier"/>
    <n v="44"/>
    <s v="M"/>
    <s v="Male"/>
    <x v="1"/>
    <x v="0"/>
    <s v="STORES"/>
  </r>
  <r>
    <x v="1454"/>
    <d v="1999-01-01T00:00:00"/>
    <d v="2020-05-06T00:00:00"/>
    <n v="21"/>
    <m/>
    <s v="Victoria"/>
    <s v="Customer Service"/>
    <s v="Cashier"/>
    <n v="46"/>
    <s v="F"/>
    <s v="Female"/>
    <x v="1"/>
    <x v="0"/>
    <s v="STORES"/>
  </r>
  <r>
    <x v="1455"/>
    <d v="1994-12-07T00:00:00"/>
    <d v="2020-06-15T00:00:00"/>
    <n v="26"/>
    <m/>
    <s v="Victoria"/>
    <s v="Customer Service"/>
    <s v="Cashier"/>
    <n v="46"/>
    <s v="M"/>
    <s v="Male"/>
    <x v="1"/>
    <x v="0"/>
    <s v="STORES"/>
  </r>
  <r>
    <x v="1456"/>
    <d v="2013-08-04T00:00:00"/>
    <d v="2020-01-03T00:00:00"/>
    <n v="7"/>
    <m/>
    <s v="Vancouver"/>
    <s v="Customer Service"/>
    <s v="Cashier"/>
    <n v="44"/>
    <s v="F"/>
    <s v="Female"/>
    <x v="1"/>
    <x v="0"/>
    <s v="STORES"/>
  </r>
  <r>
    <x v="1457"/>
    <d v="1991-11-02T00:00:00"/>
    <d v="2020-08-04T00:00:00"/>
    <n v="29"/>
    <m/>
    <s v="Fort St John"/>
    <s v="Customer Service"/>
    <s v="Cashier"/>
    <n v="12"/>
    <s v="F"/>
    <s v="Female"/>
    <x v="1"/>
    <x v="0"/>
    <s v="STORES"/>
  </r>
  <r>
    <x v="1458"/>
    <d v="2014-12-31T00:00:00"/>
    <d v="2020-02-15T00:00:00"/>
    <n v="6"/>
    <m/>
    <s v="Surrey"/>
    <s v="Customer Service"/>
    <s v="Cashier"/>
    <n v="31"/>
    <s v="M"/>
    <s v="Male"/>
    <x v="1"/>
    <x v="0"/>
    <s v="STORES"/>
  </r>
  <r>
    <x v="1459"/>
    <d v="2014-03-05T00:00:00"/>
    <d v="2020-03-07T00:00:00"/>
    <n v="6"/>
    <m/>
    <s v="Prince George"/>
    <s v="Customer Service"/>
    <s v="Cashier"/>
    <n v="26"/>
    <s v="F"/>
    <s v="Female"/>
    <x v="1"/>
    <x v="0"/>
    <s v="STORES"/>
  </r>
  <r>
    <x v="1460"/>
    <d v="1990-06-07T00:00:00"/>
    <d v="2020-08-12T00:00:00"/>
    <n v="30"/>
    <m/>
    <s v="Langley"/>
    <s v="Customer Service"/>
    <s v="Cashier"/>
    <n v="17"/>
    <s v="F"/>
    <s v="Female"/>
    <x v="1"/>
    <x v="0"/>
    <s v="STORES"/>
  </r>
  <r>
    <x v="1461"/>
    <d v="1990-11-21T00:00:00"/>
    <d v="2020-10-23T00:00:00"/>
    <n v="30"/>
    <m/>
    <s v="Nanaimo"/>
    <s v="Customer Service"/>
    <s v="Cashier"/>
    <n v="18"/>
    <s v="M"/>
    <s v="Male"/>
    <x v="1"/>
    <x v="0"/>
    <s v="STORES"/>
  </r>
  <r>
    <x v="1462"/>
    <d v="1990-01-21T00:00:00"/>
    <d v="2020-06-11T00:00:00"/>
    <n v="30"/>
    <m/>
    <s v="Vancouver"/>
    <s v="Customer Service"/>
    <s v="Cashier"/>
    <n v="44"/>
    <s v="M"/>
    <s v="Male"/>
    <x v="1"/>
    <x v="0"/>
    <s v="STORES"/>
  </r>
  <r>
    <x v="1463"/>
    <d v="2014-07-17T00:00:00"/>
    <d v="2020-09-14T00:00:00"/>
    <n v="6"/>
    <m/>
    <s v="Kelowna"/>
    <s v="Customer Service"/>
    <s v="Cashier"/>
    <n v="16"/>
    <s v="M"/>
    <s v="Male"/>
    <x v="1"/>
    <x v="0"/>
    <s v="STORES"/>
  </r>
  <r>
    <x v="1464"/>
    <d v="1996-09-25T00:00:00"/>
    <d v="2020-08-22T00:00:00"/>
    <n v="24"/>
    <m/>
    <s v="Victoria"/>
    <s v="Customer Service"/>
    <s v="Cashier"/>
    <n v="46"/>
    <s v="M"/>
    <s v="Male"/>
    <x v="1"/>
    <x v="0"/>
    <s v="STORES"/>
  </r>
  <r>
    <x v="1465"/>
    <d v="2006-03-04T00:00:00"/>
    <d v="2020-08-02T00:00:00"/>
    <n v="14"/>
    <m/>
    <s v="Vancouver"/>
    <s v="Customer Service"/>
    <s v="Cashier"/>
    <n v="44"/>
    <s v="F"/>
    <s v="Female"/>
    <x v="1"/>
    <x v="0"/>
    <s v="STORES"/>
  </r>
  <r>
    <x v="1466"/>
    <d v="1994-05-12T00:00:00"/>
    <d v="2020-07-10T00:00:00"/>
    <n v="26"/>
    <m/>
    <s v="Princeton"/>
    <s v="Customer Service"/>
    <s v="Cashier"/>
    <n v="27"/>
    <s v="M"/>
    <s v="Male"/>
    <x v="2"/>
    <x v="0"/>
    <s v="STORES"/>
  </r>
  <r>
    <x v="1467"/>
    <d v="1994-08-23T00:00:00"/>
    <d v="2020-04-10T00:00:00"/>
    <n v="26"/>
    <m/>
    <s v="Langley"/>
    <s v="Customer Service"/>
    <s v="Cashier"/>
    <n v="17"/>
    <s v="M"/>
    <s v="Male"/>
    <x v="1"/>
    <x v="0"/>
    <s v="STORES"/>
  </r>
  <r>
    <x v="1468"/>
    <d v="1993-09-11T00:00:00"/>
    <d v="2020-03-20T00:00:00"/>
    <n v="27"/>
    <m/>
    <s v="Prince George"/>
    <s v="Customer Service"/>
    <s v="Cashier"/>
    <n v="26"/>
    <s v="M"/>
    <s v="Male"/>
    <x v="1"/>
    <x v="0"/>
    <s v="STORES"/>
  </r>
  <r>
    <x v="1469"/>
    <d v="1997-08-13T00:00:00"/>
    <d v="2020-02-21T00:00:00"/>
    <n v="23"/>
    <m/>
    <s v="Fort St John"/>
    <s v="Customer Service"/>
    <s v="Cashier"/>
    <n v="12"/>
    <s v="M"/>
    <s v="Male"/>
    <x v="1"/>
    <x v="0"/>
    <s v="STORES"/>
  </r>
  <r>
    <x v="1470"/>
    <d v="2003-10-14T00:00:00"/>
    <d v="2020-12-14T00:00:00"/>
    <n v="17"/>
    <m/>
    <s v="Williams Lake"/>
    <s v="Customer Service"/>
    <s v="Cashier"/>
    <n v="40"/>
    <s v="F"/>
    <s v="Female"/>
    <x v="1"/>
    <x v="0"/>
    <s v="STORES"/>
  </r>
  <r>
    <x v="1471"/>
    <d v="2014-09-25T00:00:00"/>
    <d v="2020-01-24T00:00:00"/>
    <n v="6"/>
    <m/>
    <s v="Chilliwack"/>
    <s v="Customer Service"/>
    <s v="Cashier"/>
    <n v="6"/>
    <s v="F"/>
    <s v="Female"/>
    <x v="1"/>
    <x v="0"/>
    <s v="STORES"/>
  </r>
  <r>
    <x v="1472"/>
    <d v="1994-11-24T00:00:00"/>
    <d v="2020-12-06T00:00:00"/>
    <n v="26"/>
    <m/>
    <s v="Kamloops"/>
    <s v="Customer Service"/>
    <s v="Cashier"/>
    <n v="15"/>
    <s v="M"/>
    <s v="Male"/>
    <x v="1"/>
    <x v="0"/>
    <s v="STORES"/>
  </r>
  <r>
    <x v="1473"/>
    <d v="2012-01-07T00:00:00"/>
    <d v="2020-05-23T00:00:00"/>
    <n v="8"/>
    <m/>
    <s v="Richmond"/>
    <s v="Customer Service"/>
    <s v="Cashier"/>
    <n v="29"/>
    <s v="M"/>
    <s v="Male"/>
    <x v="1"/>
    <x v="0"/>
    <s v="STORES"/>
  </r>
  <r>
    <x v="1474"/>
    <d v="2007-10-22T00:00:00"/>
    <d v="2020-03-01T00:00:00"/>
    <n v="13"/>
    <m/>
    <s v="Cranbrook"/>
    <s v="Customer Service"/>
    <s v="Cashier"/>
    <n v="8"/>
    <s v="F"/>
    <s v="Female"/>
    <x v="1"/>
    <x v="0"/>
    <s v="STORES"/>
  </r>
  <r>
    <x v="1475"/>
    <d v="2002-05-12T00:00:00"/>
    <d v="2020-03-11T00:00:00"/>
    <n v="18"/>
    <m/>
    <s v="Victoria"/>
    <s v="Customer Service"/>
    <s v="Cashier"/>
    <n v="46"/>
    <s v="F"/>
    <s v="Female"/>
    <x v="1"/>
    <x v="0"/>
    <s v="STORES"/>
  </r>
  <r>
    <x v="1476"/>
    <d v="1990-06-26T00:00:00"/>
    <d v="2020-10-12T00:00:00"/>
    <n v="30"/>
    <m/>
    <s v="Haney"/>
    <s v="Produce"/>
    <s v="Produce Clerk"/>
    <n v="14"/>
    <s v="F"/>
    <s v="Female"/>
    <x v="2"/>
    <x v="0"/>
    <s v="STORES"/>
  </r>
  <r>
    <x v="1477"/>
    <d v="1990-05-05T00:00:00"/>
    <d v="2020-10-06T00:00:00"/>
    <n v="30"/>
    <m/>
    <s v="Trail"/>
    <s v="Customer Service"/>
    <s v="Cashier"/>
    <n v="33"/>
    <s v="M"/>
    <s v="Male"/>
    <x v="1"/>
    <x v="0"/>
    <s v="STORES"/>
  </r>
  <r>
    <x v="1478"/>
    <d v="2001-05-27T00:00:00"/>
    <d v="2020-04-12T00:00:00"/>
    <n v="19"/>
    <m/>
    <s v="Victoria"/>
    <s v="Customer Service"/>
    <s v="Cashier"/>
    <n v="46"/>
    <s v="F"/>
    <s v="Female"/>
    <x v="1"/>
    <x v="0"/>
    <s v="STORES"/>
  </r>
  <r>
    <x v="1479"/>
    <d v="2013-08-20T00:00:00"/>
    <d v="2020-04-04T00:00:00"/>
    <n v="7"/>
    <m/>
    <s v="Princeton"/>
    <s v="Customer Service"/>
    <s v="Cashier"/>
    <n v="27"/>
    <s v="M"/>
    <s v="Male"/>
    <x v="2"/>
    <x v="0"/>
    <s v="STORES"/>
  </r>
  <r>
    <x v="1480"/>
    <d v="2000-03-18T00:00:00"/>
    <d v="2020-02-12T00:00:00"/>
    <n v="20"/>
    <m/>
    <s v="Valemount"/>
    <s v="Dairy"/>
    <s v="Dairy Person"/>
    <n v="34"/>
    <s v="M"/>
    <s v="Male"/>
    <x v="2"/>
    <x v="0"/>
    <s v="STORES"/>
  </r>
  <r>
    <x v="1481"/>
    <d v="1994-03-09T00:00:00"/>
    <d v="2020-06-06T00:00:00"/>
    <n v="26"/>
    <m/>
    <s v="Vancouver"/>
    <s v="Customer Service"/>
    <s v="Cashier"/>
    <n v="44"/>
    <s v="F"/>
    <s v="Female"/>
    <x v="1"/>
    <x v="0"/>
    <s v="STORES"/>
  </r>
  <r>
    <x v="1482"/>
    <d v="1995-06-03T00:00:00"/>
    <d v="2020-02-24T00:00:00"/>
    <n v="25"/>
    <m/>
    <s v="White Rock"/>
    <s v="Customer Service"/>
    <s v="Cashier"/>
    <n v="39"/>
    <s v="F"/>
    <s v="Female"/>
    <x v="2"/>
    <x v="0"/>
    <s v="STORES"/>
  </r>
  <r>
    <x v="1483"/>
    <d v="1995-10-14T00:00:00"/>
    <d v="2020-12-27T00:00:00"/>
    <n v="25"/>
    <m/>
    <s v="Kelowna"/>
    <s v="Customer Service"/>
    <s v="Cashier"/>
    <n v="16"/>
    <s v="F"/>
    <s v="Female"/>
    <x v="1"/>
    <x v="0"/>
    <s v="STORES"/>
  </r>
  <r>
    <x v="1484"/>
    <d v="2001-12-28T00:00:00"/>
    <d v="2020-10-15T00:00:00"/>
    <n v="19"/>
    <m/>
    <s v="Grand Forks"/>
    <s v="Customer Service"/>
    <s v="Cashier"/>
    <n v="13"/>
    <s v="F"/>
    <s v="Female"/>
    <x v="2"/>
    <x v="0"/>
    <s v="STOR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070AC-9E79-4743-83DC-F37B3321E6E4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4:B8" firstHeaderRow="1" firstDataRow="1" firstDataCol="1"/>
  <pivotFields count="14">
    <pivotField showAll="0">
      <items count="14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>
      <items count="2">
        <item x="0"/>
        <item t="default"/>
      </items>
    </pivotField>
    <pivotField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ermreason_desc" fld="11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86"/>
  <sheetViews>
    <sheetView tabSelected="1" workbookViewId="0"/>
  </sheetViews>
  <sheetFormatPr defaultRowHeight="14.5" x14ac:dyDescent="0.35"/>
  <cols>
    <col min="1" max="1" width="15.36328125" style="8" bestFit="1" customWidth="1"/>
    <col min="2" max="2" width="16.36328125" bestFit="1" customWidth="1"/>
    <col min="3" max="3" width="23.26953125" bestFit="1" customWidth="1"/>
    <col min="4" max="5" width="20.1796875" bestFit="1" customWidth="1"/>
    <col min="6" max="6" width="16.1796875" bestFit="1" customWidth="1"/>
    <col min="7" max="7" width="21.26953125" style="9" bestFit="1" customWidth="1"/>
    <col min="8" max="8" width="25.6328125" style="9" bestFit="1" customWidth="1"/>
    <col min="9" max="9" width="15.453125" bestFit="1" customWidth="1"/>
    <col min="10" max="10" width="16.6328125" bestFit="1" customWidth="1"/>
    <col min="11" max="11" width="14.81640625" bestFit="1" customWidth="1"/>
    <col min="12" max="12" width="20" bestFit="1" customWidth="1"/>
    <col min="13" max="13" width="18" bestFit="1" customWidth="1"/>
    <col min="14" max="14" width="18.453125" bestFit="1" customWidth="1"/>
    <col min="15" max="15" width="18.453125" customWidth="1"/>
    <col min="16" max="16" width="16.90625" customWidth="1"/>
    <col min="18" max="18" width="12" bestFit="1" customWidth="1"/>
  </cols>
  <sheetData>
    <row r="1" spans="1:18" s="3" customFormat="1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40"/>
      <c r="P1" s="3" t="s">
        <v>175</v>
      </c>
      <c r="Q1" s="3" t="s">
        <v>12</v>
      </c>
    </row>
    <row r="2" spans="1:18" x14ac:dyDescent="0.35">
      <c r="A2" s="4">
        <v>1338</v>
      </c>
      <c r="B2" s="5">
        <v>39288</v>
      </c>
      <c r="C2" s="5">
        <v>43849</v>
      </c>
      <c r="D2" s="4">
        <v>13</v>
      </c>
      <c r="E2" s="6" t="str" cm="1">
        <f t="array" ref="E2">_xlfn.IFS(D2&lt;=5,"Newcomer",AND(D2&gt;=6,D2&lt;=10),"Proficient",D2&gt;10,"Expert")</f>
        <v>Expert</v>
      </c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 t="str" cm="1">
        <f t="array" ref="M2">_xlfn.IFS(L2="Retirement","Voluntary",L2="Resignation","Voluntary",L2="Layoff","InVoluntary")</f>
        <v>Voluntary</v>
      </c>
      <c r="N2" s="4" t="s">
        <v>20</v>
      </c>
      <c r="O2" s="41"/>
      <c r="P2">
        <v>1</v>
      </c>
      <c r="Q2" t="s">
        <v>173</v>
      </c>
      <c r="R2">
        <f>SUMIF(Q2:Q1486,"Voluntary",P2:P1486)/1485</f>
        <v>0.52323232323232327</v>
      </c>
    </row>
    <row r="3" spans="1:18" x14ac:dyDescent="0.35">
      <c r="A3" s="4">
        <v>1339</v>
      </c>
      <c r="B3" s="5">
        <v>34051</v>
      </c>
      <c r="C3" s="5">
        <v>44078</v>
      </c>
      <c r="D3" s="4">
        <v>27</v>
      </c>
      <c r="E3" s="6" t="str" cm="1">
        <f t="array" ref="E3">_xlfn.IFS(D3&lt;=5,"Newcomer",AND(D3&gt;=6,D3&lt;=10),"Proficient",D3&gt;10,"Expert")</f>
        <v>Expert</v>
      </c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 t="str" cm="1">
        <f t="array" ref="M3">_xlfn.IFS(L3="Retirement","Voluntary",L3="Resignation","Voluntary",L3="Layoff","InVoluntary")</f>
        <v>Voluntary</v>
      </c>
      <c r="N3" s="4" t="s">
        <v>26</v>
      </c>
      <c r="O3" s="41"/>
      <c r="P3">
        <v>1</v>
      </c>
      <c r="Q3" t="s">
        <v>173</v>
      </c>
    </row>
    <row r="4" spans="1:18" x14ac:dyDescent="0.35">
      <c r="A4" s="4">
        <v>1340</v>
      </c>
      <c r="B4" s="5">
        <v>35551</v>
      </c>
      <c r="C4" s="5">
        <v>44088</v>
      </c>
      <c r="D4" s="4">
        <v>23</v>
      </c>
      <c r="E4" s="6" t="str" cm="1">
        <f t="array" ref="E4">_xlfn.IFS(D4&lt;=5,"Newcomer",AND(D4&gt;=6,D4&lt;=10),"Proficient",D4&gt;10,"Expert")</f>
        <v>Expert</v>
      </c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 t="str" cm="1">
        <f t="array" ref="M4">_xlfn.IFS(L4="Retirement","Voluntary",L4="Resignation","Voluntary",L4="Layoff","InVoluntary")</f>
        <v>Voluntary</v>
      </c>
      <c r="N4" s="4" t="s">
        <v>26</v>
      </c>
      <c r="O4" s="41"/>
      <c r="P4">
        <v>1</v>
      </c>
      <c r="Q4" t="s">
        <v>173</v>
      </c>
    </row>
    <row r="5" spans="1:18" x14ac:dyDescent="0.35">
      <c r="A5" s="4">
        <v>1341</v>
      </c>
      <c r="B5" s="5">
        <v>38964</v>
      </c>
      <c r="C5" s="5">
        <v>43982</v>
      </c>
      <c r="D5" s="4">
        <v>14</v>
      </c>
      <c r="E5" s="6" t="str" cm="1">
        <f t="array" ref="E5">_xlfn.IFS(D5&lt;=5,"Newcomer",AND(D5&gt;=6,D5&lt;=10),"Proficient",D5&gt;10,"Expert")</f>
        <v>Expert</v>
      </c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 t="str" cm="1">
        <f t="array" ref="M5">_xlfn.IFS(L5="Retirement","Voluntary",L5="Resignation","Voluntary",L5="Layoff","InVoluntary")</f>
        <v>Voluntary</v>
      </c>
      <c r="N5" s="4" t="s">
        <v>20</v>
      </c>
      <c r="O5" s="41"/>
      <c r="P5">
        <v>1</v>
      </c>
      <c r="Q5" t="s">
        <v>173</v>
      </c>
    </row>
    <row r="6" spans="1:18" x14ac:dyDescent="0.35">
      <c r="A6" s="4">
        <v>1343</v>
      </c>
      <c r="B6" s="5">
        <v>37303</v>
      </c>
      <c r="C6" s="5">
        <v>44141</v>
      </c>
      <c r="D6" s="4">
        <v>18</v>
      </c>
      <c r="E6" s="6" t="str" cm="1">
        <f t="array" ref="E6">_xlfn.IFS(D6&lt;=5,"Newcomer",AND(D6&gt;=6,D6&lt;=10),"Proficient",D6&gt;10,"Expert")</f>
        <v>Expert</v>
      </c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 t="str" cm="1">
        <f t="array" ref="M6">_xlfn.IFS(L6="Retirement","Voluntary",L6="Resignation","Voluntary",L6="Layoff","InVoluntary")</f>
        <v>Voluntary</v>
      </c>
      <c r="N6" s="4" t="s">
        <v>26</v>
      </c>
      <c r="O6" s="41"/>
      <c r="P6">
        <v>1</v>
      </c>
      <c r="Q6" t="s">
        <v>173</v>
      </c>
    </row>
    <row r="7" spans="1:18" x14ac:dyDescent="0.35">
      <c r="A7" s="4">
        <v>1344</v>
      </c>
      <c r="B7" s="5">
        <v>39927</v>
      </c>
      <c r="C7" s="5">
        <v>44101</v>
      </c>
      <c r="D7" s="4">
        <v>11</v>
      </c>
      <c r="E7" s="6" t="str" cm="1">
        <f t="array" ref="E7">_xlfn.IFS(D7&lt;=5,"Newcomer",AND(D7&gt;=6,D7&lt;=10),"Proficient",D7&gt;10,"Expert")</f>
        <v>Expert</v>
      </c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 t="str" cm="1">
        <f t="array" ref="M7">_xlfn.IFS(L7="Retirement","Voluntary",L7="Resignation","Voluntary",L7="Layoff","InVoluntary")</f>
        <v>Voluntary</v>
      </c>
      <c r="N7" s="4" t="s">
        <v>20</v>
      </c>
      <c r="O7" s="41"/>
      <c r="P7">
        <v>1</v>
      </c>
      <c r="Q7" t="s">
        <v>173</v>
      </c>
    </row>
    <row r="8" spans="1:18" x14ac:dyDescent="0.35">
      <c r="A8" s="4">
        <v>1346</v>
      </c>
      <c r="B8" s="5">
        <v>36454</v>
      </c>
      <c r="C8" s="5">
        <v>44035</v>
      </c>
      <c r="D8" s="4">
        <v>21</v>
      </c>
      <c r="E8" s="6" t="str" cm="1">
        <f t="array" ref="E8">_xlfn.IFS(D8&lt;=5,"Newcomer",AND(D8&gt;=6,D8&lt;=10),"Proficient",D8&gt;10,"Expert")</f>
        <v>Expert</v>
      </c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 t="str" cm="1">
        <f t="array" ref="M8">_xlfn.IFS(L8="Retirement","Voluntary",L8="Resignation","Voluntary",L8="Layoff","InVoluntary")</f>
        <v>Voluntary</v>
      </c>
      <c r="N8" s="4" t="s">
        <v>20</v>
      </c>
      <c r="O8" s="41"/>
      <c r="P8">
        <v>1</v>
      </c>
      <c r="Q8" t="s">
        <v>173</v>
      </c>
    </row>
    <row r="9" spans="1:18" x14ac:dyDescent="0.35">
      <c r="A9" s="4">
        <v>1347</v>
      </c>
      <c r="B9" s="5">
        <v>34772</v>
      </c>
      <c r="C9" s="5">
        <v>43916</v>
      </c>
      <c r="D9" s="4">
        <v>25</v>
      </c>
      <c r="E9" s="6" t="str" cm="1">
        <f t="array" ref="E9">_xlfn.IFS(D9&lt;=5,"Newcomer",AND(D9&gt;=6,D9&lt;=10),"Proficient",D9&gt;10,"Expert")</f>
        <v>Expert</v>
      </c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 t="str" cm="1">
        <f t="array" ref="M9">_xlfn.IFS(L9="Retirement","Voluntary",L9="Resignation","Voluntary",L9="Layoff","InVoluntary")</f>
        <v>Voluntary</v>
      </c>
      <c r="N9" s="4" t="s">
        <v>26</v>
      </c>
      <c r="O9" s="41"/>
      <c r="P9">
        <v>1</v>
      </c>
      <c r="Q9" t="s">
        <v>173</v>
      </c>
    </row>
    <row r="10" spans="1:18" x14ac:dyDescent="0.35">
      <c r="A10" s="4">
        <v>1351</v>
      </c>
      <c r="B10" s="5">
        <v>38157</v>
      </c>
      <c r="C10" s="5">
        <v>43930</v>
      </c>
      <c r="D10" s="4">
        <v>16</v>
      </c>
      <c r="E10" s="6" t="str" cm="1">
        <f t="array" ref="E10">_xlfn.IFS(D10&lt;=5,"Newcomer",AND(D10&gt;=6,D10&lt;=10),"Proficient",D10&gt;10,"Expert")</f>
        <v>Expert</v>
      </c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 t="str" cm="1">
        <f t="array" ref="M10">_xlfn.IFS(L10="Retirement","Voluntary",L10="Resignation","Voluntary",L10="Layoff","InVoluntary")</f>
        <v>Voluntary</v>
      </c>
      <c r="N10" s="4" t="s">
        <v>20</v>
      </c>
      <c r="O10" s="41"/>
      <c r="P10">
        <v>1</v>
      </c>
      <c r="Q10" t="s">
        <v>173</v>
      </c>
    </row>
    <row r="11" spans="1:18" x14ac:dyDescent="0.35">
      <c r="A11" s="4">
        <v>1352</v>
      </c>
      <c r="B11" s="5">
        <v>37583</v>
      </c>
      <c r="C11" s="5">
        <v>43886</v>
      </c>
      <c r="D11" s="4">
        <v>18</v>
      </c>
      <c r="E11" s="6" t="str" cm="1">
        <f t="array" ref="E11">_xlfn.IFS(D11&lt;=5,"Newcomer",AND(D11&gt;=6,D11&lt;=10),"Proficient",D11&gt;10,"Expert")</f>
        <v>Expert</v>
      </c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 t="str" cm="1">
        <f t="array" ref="M11">_xlfn.IFS(L11="Retirement","Voluntary",L11="Resignation","Voluntary",L11="Layoff","InVoluntary")</f>
        <v>Voluntary</v>
      </c>
      <c r="N11" s="4" t="s">
        <v>20</v>
      </c>
      <c r="O11" s="41"/>
      <c r="P11">
        <v>1</v>
      </c>
      <c r="Q11" t="s">
        <v>173</v>
      </c>
    </row>
    <row r="12" spans="1:18" x14ac:dyDescent="0.35">
      <c r="A12" s="4">
        <v>1353</v>
      </c>
      <c r="B12" s="5">
        <v>35360</v>
      </c>
      <c r="C12" s="5">
        <v>43973</v>
      </c>
      <c r="D12" s="4">
        <v>24</v>
      </c>
      <c r="E12" s="6" t="str" cm="1">
        <f t="array" ref="E12">_xlfn.IFS(D12&lt;=5,"Newcomer",AND(D12&gt;=6,D12&lt;=10),"Proficient",D12&gt;10,"Expert")</f>
        <v>Expert</v>
      </c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 t="str" cm="1">
        <f t="array" ref="M12">_xlfn.IFS(L12="Retirement","Voluntary",L12="Resignation","Voluntary",L12="Layoff","InVoluntary")</f>
        <v>Voluntary</v>
      </c>
      <c r="N12" s="4" t="s">
        <v>26</v>
      </c>
      <c r="O12" s="41"/>
      <c r="P12">
        <v>1</v>
      </c>
      <c r="Q12" t="s">
        <v>173</v>
      </c>
    </row>
    <row r="13" spans="1:18" x14ac:dyDescent="0.35">
      <c r="A13" s="4">
        <v>1355</v>
      </c>
      <c r="B13" s="5">
        <v>41906</v>
      </c>
      <c r="C13" s="5">
        <v>44187</v>
      </c>
      <c r="D13" s="4">
        <v>6</v>
      </c>
      <c r="E13" s="6" t="str" cm="1">
        <f t="array" ref="E13">_xlfn.IFS(D13&lt;=5,"Newcomer",AND(D13&gt;=6,D13&lt;=10),"Proficient",D13&gt;10,"Expert")</f>
        <v>Proficient</v>
      </c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 t="str" cm="1">
        <f t="array" ref="M13">_xlfn.IFS(L13="Retirement","Voluntary",L13="Resignation","Voluntary",L13="Layoff","InVoluntary")</f>
        <v>Voluntary</v>
      </c>
      <c r="N13" s="4" t="s">
        <v>20</v>
      </c>
      <c r="O13" s="41"/>
      <c r="P13">
        <v>1</v>
      </c>
      <c r="Q13" t="s">
        <v>173</v>
      </c>
    </row>
    <row r="14" spans="1:18" x14ac:dyDescent="0.35">
      <c r="A14" s="4">
        <v>1357</v>
      </c>
      <c r="B14" s="5">
        <v>38281</v>
      </c>
      <c r="C14" s="5">
        <v>43905</v>
      </c>
      <c r="D14" s="4">
        <v>16</v>
      </c>
      <c r="E14" s="6" t="str" cm="1">
        <f t="array" ref="E14">_xlfn.IFS(D14&lt;=5,"Newcomer",AND(D14&gt;=6,D14&lt;=10),"Proficient",D14&gt;10,"Expert")</f>
        <v>Expert</v>
      </c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 t="str" cm="1">
        <f t="array" ref="M14">_xlfn.IFS(L14="Retirement","Voluntary",L14="Resignation","Voluntary",L14="Layoff","InVoluntary")</f>
        <v>Voluntary</v>
      </c>
      <c r="N14" s="4" t="s">
        <v>20</v>
      </c>
      <c r="O14" s="41"/>
      <c r="P14">
        <v>1</v>
      </c>
      <c r="Q14" t="s">
        <v>173</v>
      </c>
    </row>
    <row r="15" spans="1:18" x14ac:dyDescent="0.35">
      <c r="A15" s="4">
        <v>1358</v>
      </c>
      <c r="B15" s="5">
        <v>33811</v>
      </c>
      <c r="C15" s="5">
        <v>43900</v>
      </c>
      <c r="D15" s="4">
        <v>28</v>
      </c>
      <c r="E15" s="6" t="str" cm="1">
        <f t="array" ref="E15">_xlfn.IFS(D15&lt;=5,"Newcomer",AND(D15&gt;=6,D15&lt;=10),"Proficient",D15&gt;10,"Expert")</f>
        <v>Expert</v>
      </c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 t="str" cm="1">
        <f t="array" ref="M15">_xlfn.IFS(L15="Retirement","Voluntary",L15="Resignation","Voluntary",L15="Layoff","InVoluntary")</f>
        <v>Voluntary</v>
      </c>
      <c r="N15" s="4" t="s">
        <v>26</v>
      </c>
      <c r="O15" s="41"/>
      <c r="P15">
        <v>1</v>
      </c>
      <c r="Q15" t="s">
        <v>173</v>
      </c>
    </row>
    <row r="16" spans="1:18" x14ac:dyDescent="0.35">
      <c r="A16" s="4">
        <v>1359</v>
      </c>
      <c r="B16" s="5">
        <v>36307</v>
      </c>
      <c r="C16" s="5">
        <v>44005</v>
      </c>
      <c r="D16" s="4">
        <v>21</v>
      </c>
      <c r="E16" s="6" t="str" cm="1">
        <f t="array" ref="E16">_xlfn.IFS(D16&lt;=5,"Newcomer",AND(D16&gt;=6,D16&lt;=10),"Proficient",D16&gt;10,"Expert")</f>
        <v>Expert</v>
      </c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 t="str" cm="1">
        <f t="array" ref="M16">_xlfn.IFS(L16="Retirement","Voluntary",L16="Resignation","Voluntary",L16="Layoff","InVoluntary")</f>
        <v>Voluntary</v>
      </c>
      <c r="N16" s="4" t="s">
        <v>26</v>
      </c>
      <c r="O16" s="41"/>
      <c r="P16">
        <v>1</v>
      </c>
      <c r="Q16" t="s">
        <v>173</v>
      </c>
    </row>
    <row r="17" spans="1:17" x14ac:dyDescent="0.35">
      <c r="A17" s="4">
        <v>1360</v>
      </c>
      <c r="B17" s="5">
        <v>38817</v>
      </c>
      <c r="C17" s="5">
        <v>43986</v>
      </c>
      <c r="D17" s="4">
        <v>14</v>
      </c>
      <c r="E17" s="6" t="str" cm="1">
        <f t="array" ref="E17">_xlfn.IFS(D17&lt;=5,"Newcomer",AND(D17&gt;=6,D17&lt;=10),"Proficient",D17&gt;10,"Expert")</f>
        <v>Expert</v>
      </c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 t="str" cm="1">
        <f t="array" ref="M17">_xlfn.IFS(L17="Retirement","Voluntary",L17="Resignation","Voluntary",L17="Layoff","InVoluntary")</f>
        <v>Voluntary</v>
      </c>
      <c r="N17" s="4" t="s">
        <v>20</v>
      </c>
      <c r="O17" s="41"/>
      <c r="P17">
        <v>1</v>
      </c>
      <c r="Q17" t="s">
        <v>173</v>
      </c>
    </row>
    <row r="18" spans="1:17" x14ac:dyDescent="0.35">
      <c r="A18" s="4">
        <v>1362</v>
      </c>
      <c r="B18" s="5">
        <v>37855</v>
      </c>
      <c r="C18" s="5">
        <v>44029</v>
      </c>
      <c r="D18" s="4">
        <v>17</v>
      </c>
      <c r="E18" s="6" t="str" cm="1">
        <f t="array" ref="E18">_xlfn.IFS(D18&lt;=5,"Newcomer",AND(D18&gt;=6,D18&lt;=10),"Proficient",D18&gt;10,"Expert")</f>
        <v>Expert</v>
      </c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 t="str" cm="1">
        <f t="array" ref="M18">_xlfn.IFS(L18="Retirement","Voluntary",L18="Resignation","Voluntary",L18="Layoff","InVoluntary")</f>
        <v>Voluntary</v>
      </c>
      <c r="N18" s="4" t="s">
        <v>26</v>
      </c>
      <c r="O18" s="41"/>
      <c r="P18">
        <v>1</v>
      </c>
      <c r="Q18" t="s">
        <v>173</v>
      </c>
    </row>
    <row r="19" spans="1:17" x14ac:dyDescent="0.35">
      <c r="A19" s="4">
        <v>1363</v>
      </c>
      <c r="B19" s="5">
        <v>42034</v>
      </c>
      <c r="C19" s="5">
        <v>44044</v>
      </c>
      <c r="D19" s="4">
        <v>5</v>
      </c>
      <c r="E19" s="6" t="str" cm="1">
        <f t="array" ref="E19">_xlfn.IFS(D19&lt;=5,"Newcomer",AND(D19&gt;=6,D19&lt;=10),"Proficient",D19&gt;10,"Expert")</f>
        <v>Newcomer</v>
      </c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 t="str" cm="1">
        <f t="array" ref="M19">_xlfn.IFS(L19="Retirement","Voluntary",L19="Resignation","Voluntary",L19="Layoff","InVoluntary")</f>
        <v>Voluntary</v>
      </c>
      <c r="N19" s="4" t="s">
        <v>26</v>
      </c>
      <c r="O19" s="41"/>
      <c r="P19">
        <v>1</v>
      </c>
      <c r="Q19" t="s">
        <v>173</v>
      </c>
    </row>
    <row r="20" spans="1:17" x14ac:dyDescent="0.35">
      <c r="A20" s="4">
        <v>1365</v>
      </c>
      <c r="B20" s="5">
        <v>39311</v>
      </c>
      <c r="C20" s="5">
        <v>44071</v>
      </c>
      <c r="D20" s="4">
        <v>13</v>
      </c>
      <c r="E20" s="6" t="str" cm="1">
        <f t="array" ref="E20">_xlfn.IFS(D20&lt;=5,"Newcomer",AND(D20&gt;=6,D20&lt;=10),"Proficient",D20&gt;10,"Expert")</f>
        <v>Expert</v>
      </c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 t="str" cm="1">
        <f t="array" ref="M20">_xlfn.IFS(L20="Retirement","Voluntary",L20="Resignation","Voluntary",L20="Layoff","InVoluntary")</f>
        <v>Voluntary</v>
      </c>
      <c r="N20" s="4" t="s">
        <v>26</v>
      </c>
      <c r="O20" s="41"/>
      <c r="P20">
        <v>1</v>
      </c>
      <c r="Q20" t="s">
        <v>173</v>
      </c>
    </row>
    <row r="21" spans="1:17" x14ac:dyDescent="0.35">
      <c r="A21" s="4">
        <v>1366</v>
      </c>
      <c r="B21" s="5">
        <v>35058</v>
      </c>
      <c r="C21" s="5">
        <v>43845</v>
      </c>
      <c r="D21" s="4">
        <v>25</v>
      </c>
      <c r="E21" s="6" t="str" cm="1">
        <f t="array" ref="E21">_xlfn.IFS(D21&lt;=5,"Newcomer",AND(D21&gt;=6,D21&lt;=10),"Proficient",D21&gt;10,"Expert")</f>
        <v>Expert</v>
      </c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 t="str" cm="1">
        <f t="array" ref="M21">_xlfn.IFS(L21="Retirement","Voluntary",L21="Resignation","Voluntary",L21="Layoff","InVoluntary")</f>
        <v>Voluntary</v>
      </c>
      <c r="N21" s="4" t="s">
        <v>20</v>
      </c>
      <c r="O21" s="41"/>
      <c r="P21">
        <v>1</v>
      </c>
      <c r="Q21" t="s">
        <v>173</v>
      </c>
    </row>
    <row r="22" spans="1:17" x14ac:dyDescent="0.35">
      <c r="A22" s="4">
        <v>1367</v>
      </c>
      <c r="B22" s="5">
        <v>34514</v>
      </c>
      <c r="C22" s="5">
        <v>44073</v>
      </c>
      <c r="D22" s="4">
        <v>26</v>
      </c>
      <c r="E22" s="6" t="str" cm="1">
        <f t="array" ref="E22">_xlfn.IFS(D22&lt;=5,"Newcomer",AND(D22&gt;=6,D22&lt;=10),"Proficient",D22&gt;10,"Expert")</f>
        <v>Expert</v>
      </c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 t="str" cm="1">
        <f t="array" ref="M22">_xlfn.IFS(L22="Retirement","Voluntary",L22="Resignation","Voluntary",L22="Layoff","InVoluntary")</f>
        <v>Voluntary</v>
      </c>
      <c r="N22" s="4" t="s">
        <v>26</v>
      </c>
      <c r="O22" s="41"/>
      <c r="P22">
        <v>1</v>
      </c>
      <c r="Q22" t="s">
        <v>173</v>
      </c>
    </row>
    <row r="23" spans="1:17" x14ac:dyDescent="0.35">
      <c r="A23" s="4">
        <v>1370</v>
      </c>
      <c r="B23" s="5">
        <v>39509</v>
      </c>
      <c r="C23" s="5">
        <v>44093</v>
      </c>
      <c r="D23" s="4">
        <v>12</v>
      </c>
      <c r="E23" s="6" t="str" cm="1">
        <f t="array" ref="E23">_xlfn.IFS(D23&lt;=5,"Newcomer",AND(D23&gt;=6,D23&lt;=10),"Proficient",D23&gt;10,"Expert")</f>
        <v>Expert</v>
      </c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 t="str" cm="1">
        <f t="array" ref="M23">_xlfn.IFS(L23="Retirement","Voluntary",L23="Resignation","Voluntary",L23="Layoff","InVoluntary")</f>
        <v>Voluntary</v>
      </c>
      <c r="N23" s="4" t="s">
        <v>20</v>
      </c>
      <c r="O23" s="41"/>
      <c r="P23">
        <v>1</v>
      </c>
      <c r="Q23" t="s">
        <v>173</v>
      </c>
    </row>
    <row r="24" spans="1:17" x14ac:dyDescent="0.35">
      <c r="A24" s="4">
        <v>1372</v>
      </c>
      <c r="B24" s="5">
        <v>39216</v>
      </c>
      <c r="C24" s="5">
        <v>44054</v>
      </c>
      <c r="D24" s="4">
        <v>13</v>
      </c>
      <c r="E24" s="6" t="str" cm="1">
        <f t="array" ref="E24">_xlfn.IFS(D24&lt;=5,"Newcomer",AND(D24&gt;=6,D24&lt;=10),"Proficient",D24&gt;10,"Expert")</f>
        <v>Expert</v>
      </c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 t="str" cm="1">
        <f t="array" ref="M24">_xlfn.IFS(L24="Retirement","Voluntary",L24="Resignation","Voluntary",L24="Layoff","InVoluntary")</f>
        <v>Voluntary</v>
      </c>
      <c r="N24" s="4" t="s">
        <v>20</v>
      </c>
      <c r="O24" s="41"/>
      <c r="P24">
        <v>1</v>
      </c>
      <c r="Q24" t="s">
        <v>173</v>
      </c>
    </row>
    <row r="25" spans="1:17" x14ac:dyDescent="0.35">
      <c r="A25" s="4">
        <v>1373</v>
      </c>
      <c r="B25" s="5">
        <v>38912</v>
      </c>
      <c r="C25" s="5">
        <v>43960</v>
      </c>
      <c r="D25" s="4">
        <v>14</v>
      </c>
      <c r="E25" s="6" t="str" cm="1">
        <f t="array" ref="E25">_xlfn.IFS(D25&lt;=5,"Newcomer",AND(D25&gt;=6,D25&lt;=10),"Proficient",D25&gt;10,"Expert")</f>
        <v>Expert</v>
      </c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 t="str" cm="1">
        <f t="array" ref="M25">_xlfn.IFS(L25="Retirement","Voluntary",L25="Resignation","Voluntary",L25="Layoff","InVoluntary")</f>
        <v>Voluntary</v>
      </c>
      <c r="N25" s="4" t="s">
        <v>20</v>
      </c>
      <c r="O25" s="41"/>
      <c r="P25">
        <v>1</v>
      </c>
      <c r="Q25" t="s">
        <v>173</v>
      </c>
    </row>
    <row r="26" spans="1:17" x14ac:dyDescent="0.35">
      <c r="A26" s="4">
        <v>1374</v>
      </c>
      <c r="B26" s="5">
        <v>39233</v>
      </c>
      <c r="C26" s="5">
        <v>43941</v>
      </c>
      <c r="D26" s="4">
        <v>13</v>
      </c>
      <c r="E26" s="6" t="str" cm="1">
        <f t="array" ref="E26">_xlfn.IFS(D26&lt;=5,"Newcomer",AND(D26&gt;=6,D26&lt;=10),"Proficient",D26&gt;10,"Expert")</f>
        <v>Expert</v>
      </c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 t="str" cm="1">
        <f t="array" ref="M26">_xlfn.IFS(L26="Retirement","Voluntary",L26="Resignation","Voluntary",L26="Layoff","InVoluntary")</f>
        <v>Voluntary</v>
      </c>
      <c r="N26" s="4" t="s">
        <v>26</v>
      </c>
      <c r="O26" s="41"/>
      <c r="P26">
        <v>1</v>
      </c>
      <c r="Q26" t="s">
        <v>173</v>
      </c>
    </row>
    <row r="27" spans="1:17" x14ac:dyDescent="0.35">
      <c r="A27" s="4">
        <v>1376</v>
      </c>
      <c r="B27" s="5">
        <v>33029</v>
      </c>
      <c r="C27" s="5">
        <v>44048</v>
      </c>
      <c r="D27" s="4">
        <v>30</v>
      </c>
      <c r="E27" s="6" t="str" cm="1">
        <f t="array" ref="E27">_xlfn.IFS(D27&lt;=5,"Newcomer",AND(D27&gt;=6,D27&lt;=10),"Proficient",D27&gt;10,"Expert")</f>
        <v>Expert</v>
      </c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 t="str" cm="1">
        <f t="array" ref="M27">_xlfn.IFS(L27="Retirement","Voluntary",L27="Resignation","Voluntary",L27="Layoff","InVoluntary")</f>
        <v>Voluntary</v>
      </c>
      <c r="N27" s="4" t="s">
        <v>20</v>
      </c>
      <c r="O27" s="41"/>
      <c r="P27">
        <v>1</v>
      </c>
      <c r="Q27" t="s">
        <v>173</v>
      </c>
    </row>
    <row r="28" spans="1:17" x14ac:dyDescent="0.35">
      <c r="A28" s="4">
        <v>1377</v>
      </c>
      <c r="B28" s="5">
        <v>35138</v>
      </c>
      <c r="C28" s="5">
        <v>43978</v>
      </c>
      <c r="D28" s="4">
        <v>24</v>
      </c>
      <c r="E28" s="6" t="str" cm="1">
        <f t="array" ref="E28">_xlfn.IFS(D28&lt;=5,"Newcomer",AND(D28&gt;=6,D28&lt;=10),"Proficient",D28&gt;10,"Expert")</f>
        <v>Expert</v>
      </c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 t="str" cm="1">
        <f t="array" ref="M28">_xlfn.IFS(L28="Retirement","Voluntary",L28="Resignation","Voluntary",L28="Layoff","InVoluntary")</f>
        <v>Voluntary</v>
      </c>
      <c r="N28" s="4" t="s">
        <v>26</v>
      </c>
      <c r="O28" s="41"/>
      <c r="P28">
        <v>1</v>
      </c>
      <c r="Q28" t="s">
        <v>173</v>
      </c>
    </row>
    <row r="29" spans="1:17" x14ac:dyDescent="0.35">
      <c r="A29" s="4">
        <v>1380</v>
      </c>
      <c r="B29" s="5">
        <v>33235</v>
      </c>
      <c r="C29" s="5">
        <v>43921</v>
      </c>
      <c r="D29" s="4">
        <v>30</v>
      </c>
      <c r="E29" s="6" t="str" cm="1">
        <f t="array" ref="E29">_xlfn.IFS(D29&lt;=5,"Newcomer",AND(D29&gt;=6,D29&lt;=10),"Proficient",D29&gt;10,"Expert")</f>
        <v>Expert</v>
      </c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 t="str" cm="1">
        <f t="array" ref="M29">_xlfn.IFS(L29="Retirement","Voluntary",L29="Resignation","Voluntary",L29="Layoff","InVoluntary")</f>
        <v>Voluntary</v>
      </c>
      <c r="N29" s="4" t="s">
        <v>20</v>
      </c>
      <c r="O29" s="41"/>
      <c r="P29">
        <v>1</v>
      </c>
      <c r="Q29" t="s">
        <v>173</v>
      </c>
    </row>
    <row r="30" spans="1:17" x14ac:dyDescent="0.35">
      <c r="A30" s="4">
        <v>1381</v>
      </c>
      <c r="B30" s="5">
        <v>38519</v>
      </c>
      <c r="C30" s="5">
        <v>43895</v>
      </c>
      <c r="D30" s="4">
        <v>15</v>
      </c>
      <c r="E30" s="6" t="str" cm="1">
        <f t="array" ref="E30">_xlfn.IFS(D30&lt;=5,"Newcomer",AND(D30&gt;=6,D30&lt;=10),"Proficient",D30&gt;10,"Expert")</f>
        <v>Expert</v>
      </c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 t="str" cm="1">
        <f t="array" ref="M30">_xlfn.IFS(L30="Retirement","Voluntary",L30="Resignation","Voluntary",L30="Layoff","InVoluntary")</f>
        <v>Voluntary</v>
      </c>
      <c r="N30" s="4" t="s">
        <v>20</v>
      </c>
      <c r="O30" s="41"/>
      <c r="P30">
        <v>1</v>
      </c>
      <c r="Q30" t="s">
        <v>173</v>
      </c>
    </row>
    <row r="31" spans="1:17" x14ac:dyDescent="0.35">
      <c r="A31" s="4">
        <v>1382</v>
      </c>
      <c r="B31" s="5">
        <v>36554</v>
      </c>
      <c r="C31" s="5">
        <v>43993</v>
      </c>
      <c r="D31" s="4">
        <v>20</v>
      </c>
      <c r="E31" s="6" t="str" cm="1">
        <f t="array" ref="E31">_xlfn.IFS(D31&lt;=5,"Newcomer",AND(D31&gt;=6,D31&lt;=10),"Proficient",D31&gt;10,"Expert")</f>
        <v>Expert</v>
      </c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 t="str" cm="1">
        <f t="array" ref="M31">_xlfn.IFS(L31="Retirement","Voluntary",L31="Resignation","Voluntary",L31="Layoff","InVoluntary")</f>
        <v>Voluntary</v>
      </c>
      <c r="N31" s="4" t="s">
        <v>20</v>
      </c>
      <c r="O31" s="41"/>
      <c r="P31">
        <v>1</v>
      </c>
      <c r="Q31" t="s">
        <v>173</v>
      </c>
    </row>
    <row r="32" spans="1:17" x14ac:dyDescent="0.35">
      <c r="A32" s="4">
        <v>1383</v>
      </c>
      <c r="B32" s="5">
        <v>39465</v>
      </c>
      <c r="C32" s="5">
        <v>44066</v>
      </c>
      <c r="D32" s="4">
        <v>12</v>
      </c>
      <c r="E32" s="6" t="str" cm="1">
        <f t="array" ref="E32">_xlfn.IFS(D32&lt;=5,"Newcomer",AND(D32&gt;=6,D32&lt;=10),"Proficient",D32&gt;10,"Expert")</f>
        <v>Expert</v>
      </c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 t="str" cm="1">
        <f t="array" ref="M32">_xlfn.IFS(L32="Retirement","Voluntary",L32="Resignation","Voluntary",L32="Layoff","InVoluntary")</f>
        <v>Voluntary</v>
      </c>
      <c r="N32" s="4" t="s">
        <v>26</v>
      </c>
      <c r="O32" s="41"/>
      <c r="P32">
        <v>1</v>
      </c>
      <c r="Q32" t="s">
        <v>173</v>
      </c>
    </row>
    <row r="33" spans="1:17" x14ac:dyDescent="0.35">
      <c r="A33" s="4">
        <v>1385</v>
      </c>
      <c r="B33" s="5">
        <v>34447</v>
      </c>
      <c r="C33" s="5">
        <v>43929</v>
      </c>
      <c r="D33" s="4">
        <v>26</v>
      </c>
      <c r="E33" s="6" t="str" cm="1">
        <f t="array" ref="E33">_xlfn.IFS(D33&lt;=5,"Newcomer",AND(D33&gt;=6,D33&lt;=10),"Proficient",D33&gt;10,"Expert")</f>
        <v>Expert</v>
      </c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 t="str" cm="1">
        <f t="array" ref="M33">_xlfn.IFS(L33="Retirement","Voluntary",L33="Resignation","Voluntary",L33="Layoff","InVoluntary")</f>
        <v>Voluntary</v>
      </c>
      <c r="N33" s="4" t="s">
        <v>20</v>
      </c>
      <c r="O33" s="41"/>
      <c r="P33">
        <v>1</v>
      </c>
      <c r="Q33" t="s">
        <v>173</v>
      </c>
    </row>
    <row r="34" spans="1:17" x14ac:dyDescent="0.35">
      <c r="A34" s="4">
        <v>1386</v>
      </c>
      <c r="B34" s="5">
        <v>39509</v>
      </c>
      <c r="C34" s="5">
        <v>43847</v>
      </c>
      <c r="D34" s="4">
        <v>12</v>
      </c>
      <c r="E34" s="6" t="str" cm="1">
        <f t="array" ref="E34">_xlfn.IFS(D34&lt;=5,"Newcomer",AND(D34&gt;=6,D34&lt;=10),"Proficient",D34&gt;10,"Expert")</f>
        <v>Expert</v>
      </c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 t="str" cm="1">
        <f t="array" ref="M34">_xlfn.IFS(L34="Retirement","Voluntary",L34="Resignation","Voluntary",L34="Layoff","InVoluntary")</f>
        <v>Voluntary</v>
      </c>
      <c r="N34" s="4" t="s">
        <v>26</v>
      </c>
      <c r="O34" s="41"/>
      <c r="P34">
        <v>1</v>
      </c>
      <c r="Q34" t="s">
        <v>173</v>
      </c>
    </row>
    <row r="35" spans="1:17" x14ac:dyDescent="0.35">
      <c r="A35" s="4">
        <v>1388</v>
      </c>
      <c r="B35" s="5">
        <v>37752</v>
      </c>
      <c r="C35" s="5">
        <v>44053</v>
      </c>
      <c r="D35" s="4">
        <v>17</v>
      </c>
      <c r="E35" s="6" t="str" cm="1">
        <f t="array" ref="E35">_xlfn.IFS(D35&lt;=5,"Newcomer",AND(D35&gt;=6,D35&lt;=10),"Proficient",D35&gt;10,"Expert")</f>
        <v>Expert</v>
      </c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 t="str" cm="1">
        <f t="array" ref="M35">_xlfn.IFS(L35="Retirement","Voluntary",L35="Resignation","Voluntary",L35="Layoff","InVoluntary")</f>
        <v>Voluntary</v>
      </c>
      <c r="N35" s="4" t="s">
        <v>26</v>
      </c>
      <c r="O35" s="41"/>
      <c r="P35">
        <v>1</v>
      </c>
      <c r="Q35" t="s">
        <v>173</v>
      </c>
    </row>
    <row r="36" spans="1:17" x14ac:dyDescent="0.35">
      <c r="A36" s="4">
        <v>1389</v>
      </c>
      <c r="B36" s="5">
        <v>36343</v>
      </c>
      <c r="C36" s="5">
        <v>44117</v>
      </c>
      <c r="D36" s="4">
        <v>21</v>
      </c>
      <c r="E36" s="6" t="str" cm="1">
        <f t="array" ref="E36">_xlfn.IFS(D36&lt;=5,"Newcomer",AND(D36&gt;=6,D36&lt;=10),"Proficient",D36&gt;10,"Expert")</f>
        <v>Expert</v>
      </c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 t="str" cm="1">
        <f t="array" ref="M36">_xlfn.IFS(L36="Retirement","Voluntary",L36="Resignation","Voluntary",L36="Layoff","InVoluntary")</f>
        <v>Voluntary</v>
      </c>
      <c r="N36" s="4" t="s">
        <v>26</v>
      </c>
      <c r="O36" s="41"/>
      <c r="P36">
        <v>1</v>
      </c>
      <c r="Q36" t="s">
        <v>173</v>
      </c>
    </row>
    <row r="37" spans="1:17" x14ac:dyDescent="0.35">
      <c r="A37" s="4">
        <v>1390</v>
      </c>
      <c r="B37" s="5">
        <v>33873</v>
      </c>
      <c r="C37" s="5">
        <v>44185</v>
      </c>
      <c r="D37" s="4">
        <v>28</v>
      </c>
      <c r="E37" s="6" t="str" cm="1">
        <f t="array" ref="E37">_xlfn.IFS(D37&lt;=5,"Newcomer",AND(D37&gt;=6,D37&lt;=10),"Proficient",D37&gt;10,"Expert")</f>
        <v>Expert</v>
      </c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 t="str" cm="1">
        <f t="array" ref="M37">_xlfn.IFS(L37="Retirement","Voluntary",L37="Resignation","Voluntary",L37="Layoff","InVoluntary")</f>
        <v>Voluntary</v>
      </c>
      <c r="N37" s="4" t="s">
        <v>20</v>
      </c>
      <c r="O37" s="41"/>
      <c r="P37">
        <v>1</v>
      </c>
      <c r="Q37" t="s">
        <v>173</v>
      </c>
    </row>
    <row r="38" spans="1:17" x14ac:dyDescent="0.35">
      <c r="A38" s="4">
        <v>1391</v>
      </c>
      <c r="B38" s="5">
        <v>40515</v>
      </c>
      <c r="C38" s="5">
        <v>44089</v>
      </c>
      <c r="D38" s="4">
        <v>10</v>
      </c>
      <c r="E38" s="6" t="str" cm="1">
        <f t="array" ref="E38">_xlfn.IFS(D38&lt;=5,"Newcomer",AND(D38&gt;=6,D38&lt;=10),"Proficient",D38&gt;10,"Expert")</f>
        <v>Proficient</v>
      </c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 t="str" cm="1">
        <f t="array" ref="M38">_xlfn.IFS(L38="Retirement","Voluntary",L38="Resignation","Voluntary",L38="Layoff","InVoluntary")</f>
        <v>Voluntary</v>
      </c>
      <c r="N38" s="4" t="s">
        <v>26</v>
      </c>
      <c r="O38" s="41"/>
      <c r="P38">
        <v>1</v>
      </c>
      <c r="Q38" t="s">
        <v>173</v>
      </c>
    </row>
    <row r="39" spans="1:17" x14ac:dyDescent="0.35">
      <c r="A39" s="4">
        <v>1392</v>
      </c>
      <c r="B39" s="5">
        <v>37128</v>
      </c>
      <c r="C39" s="5">
        <v>44076</v>
      </c>
      <c r="D39" s="4">
        <v>19</v>
      </c>
      <c r="E39" s="6" t="str" cm="1">
        <f t="array" ref="E39">_xlfn.IFS(D39&lt;=5,"Newcomer",AND(D39&gt;=6,D39&lt;=10),"Proficient",D39&gt;10,"Expert")</f>
        <v>Expert</v>
      </c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 t="str" cm="1">
        <f t="array" ref="M39">_xlfn.IFS(L39="Retirement","Voluntary",L39="Resignation","Voluntary",L39="Layoff","InVoluntary")</f>
        <v>Voluntary</v>
      </c>
      <c r="N39" s="4" t="s">
        <v>20</v>
      </c>
      <c r="O39" s="41"/>
      <c r="P39">
        <v>1</v>
      </c>
      <c r="Q39" t="s">
        <v>173</v>
      </c>
    </row>
    <row r="40" spans="1:17" x14ac:dyDescent="0.35">
      <c r="A40" s="4">
        <v>1394</v>
      </c>
      <c r="B40" s="5">
        <v>33424</v>
      </c>
      <c r="C40" s="5">
        <v>44121</v>
      </c>
      <c r="D40" s="4">
        <v>29</v>
      </c>
      <c r="E40" s="6" t="str" cm="1">
        <f t="array" ref="E40">_xlfn.IFS(D40&lt;=5,"Newcomer",AND(D40&gt;=6,D40&lt;=10),"Proficient",D40&gt;10,"Expert")</f>
        <v>Expert</v>
      </c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 t="str" cm="1">
        <f t="array" ref="M40">_xlfn.IFS(L40="Retirement","Voluntary",L40="Resignation","Voluntary",L40="Layoff","InVoluntary")</f>
        <v>Voluntary</v>
      </c>
      <c r="N40" s="4" t="s">
        <v>26</v>
      </c>
      <c r="O40" s="41"/>
      <c r="P40">
        <v>1</v>
      </c>
      <c r="Q40" t="s">
        <v>173</v>
      </c>
    </row>
    <row r="41" spans="1:17" x14ac:dyDescent="0.35">
      <c r="A41" s="4">
        <v>1395</v>
      </c>
      <c r="B41" s="5">
        <v>42131</v>
      </c>
      <c r="C41" s="5">
        <v>43961</v>
      </c>
      <c r="D41" s="4">
        <v>5</v>
      </c>
      <c r="E41" s="6" t="str" cm="1">
        <f t="array" ref="E41">_xlfn.IFS(D41&lt;=5,"Newcomer",AND(D41&gt;=6,D41&lt;=10),"Proficient",D41&gt;10,"Expert")</f>
        <v>Newcomer</v>
      </c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 t="str" cm="1">
        <f t="array" ref="M41">_xlfn.IFS(L41="Retirement","Voluntary",L41="Resignation","Voluntary",L41="Layoff","InVoluntary")</f>
        <v>Voluntary</v>
      </c>
      <c r="N41" s="4" t="s">
        <v>20</v>
      </c>
      <c r="O41" s="41"/>
      <c r="P41">
        <v>1</v>
      </c>
      <c r="Q41" t="s">
        <v>173</v>
      </c>
    </row>
    <row r="42" spans="1:17" x14ac:dyDescent="0.35">
      <c r="A42" s="4">
        <v>1396</v>
      </c>
      <c r="B42" s="5">
        <v>41359</v>
      </c>
      <c r="C42" s="5">
        <v>44012</v>
      </c>
      <c r="D42" s="4">
        <v>7</v>
      </c>
      <c r="E42" s="6" t="str" cm="1">
        <f t="array" ref="E42">_xlfn.IFS(D42&lt;=5,"Newcomer",AND(D42&gt;=6,D42&lt;=10),"Proficient",D42&gt;10,"Expert")</f>
        <v>Proficient</v>
      </c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 t="str" cm="1">
        <f t="array" ref="M42">_xlfn.IFS(L42="Retirement","Voluntary",L42="Resignation","Voluntary",L42="Layoff","InVoluntary")</f>
        <v>Voluntary</v>
      </c>
      <c r="N42" s="4" t="s">
        <v>26</v>
      </c>
      <c r="O42" s="41"/>
      <c r="P42">
        <v>1</v>
      </c>
      <c r="Q42" t="s">
        <v>173</v>
      </c>
    </row>
    <row r="43" spans="1:17" x14ac:dyDescent="0.35">
      <c r="A43" s="4">
        <v>1397</v>
      </c>
      <c r="B43" s="5">
        <v>39379</v>
      </c>
      <c r="C43" s="5">
        <v>43948</v>
      </c>
      <c r="D43" s="4">
        <v>13</v>
      </c>
      <c r="E43" s="6" t="str" cm="1">
        <f t="array" ref="E43">_xlfn.IFS(D43&lt;=5,"Newcomer",AND(D43&gt;=6,D43&lt;=10),"Proficient",D43&gt;10,"Expert")</f>
        <v>Expert</v>
      </c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 t="str" cm="1">
        <f t="array" ref="M43">_xlfn.IFS(L43="Retirement","Voluntary",L43="Resignation","Voluntary",L43="Layoff","InVoluntary")</f>
        <v>Voluntary</v>
      </c>
      <c r="N43" s="4" t="s">
        <v>26</v>
      </c>
      <c r="O43" s="41"/>
      <c r="P43">
        <v>1</v>
      </c>
      <c r="Q43" t="s">
        <v>173</v>
      </c>
    </row>
    <row r="44" spans="1:17" x14ac:dyDescent="0.35">
      <c r="A44" s="4">
        <v>1399</v>
      </c>
      <c r="B44" s="5">
        <v>35850</v>
      </c>
      <c r="C44" s="5">
        <v>44061</v>
      </c>
      <c r="D44" s="4">
        <v>22</v>
      </c>
      <c r="E44" s="6" t="str" cm="1">
        <f t="array" ref="E44">_xlfn.IFS(D44&lt;=5,"Newcomer",AND(D44&gt;=6,D44&lt;=10),"Proficient",D44&gt;10,"Expert")</f>
        <v>Expert</v>
      </c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 t="str" cm="1">
        <f t="array" ref="M44">_xlfn.IFS(L44="Retirement","Voluntary",L44="Resignation","Voluntary",L44="Layoff","InVoluntary")</f>
        <v>Voluntary</v>
      </c>
      <c r="N44" s="4" t="s">
        <v>26</v>
      </c>
      <c r="O44" s="41"/>
      <c r="P44">
        <v>1</v>
      </c>
      <c r="Q44" t="s">
        <v>173</v>
      </c>
    </row>
    <row r="45" spans="1:17" x14ac:dyDescent="0.35">
      <c r="A45" s="4">
        <v>1400</v>
      </c>
      <c r="B45" s="5">
        <v>38262</v>
      </c>
      <c r="C45" s="5">
        <v>43968</v>
      </c>
      <c r="D45" s="4">
        <v>16</v>
      </c>
      <c r="E45" s="6" t="str" cm="1">
        <f t="array" ref="E45">_xlfn.IFS(D45&lt;=5,"Newcomer",AND(D45&gt;=6,D45&lt;=10),"Proficient",D45&gt;10,"Expert")</f>
        <v>Expert</v>
      </c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 t="str" cm="1">
        <f t="array" ref="M45">_xlfn.IFS(L45="Retirement","Voluntary",L45="Resignation","Voluntary",L45="Layoff","InVoluntary")</f>
        <v>Voluntary</v>
      </c>
      <c r="N45" s="4" t="s">
        <v>20</v>
      </c>
      <c r="O45" s="41"/>
      <c r="P45">
        <v>1</v>
      </c>
      <c r="Q45" t="s">
        <v>173</v>
      </c>
    </row>
    <row r="46" spans="1:17" x14ac:dyDescent="0.35">
      <c r="A46" s="4">
        <v>1401</v>
      </c>
      <c r="B46" s="5">
        <v>38382</v>
      </c>
      <c r="C46" s="5">
        <v>44042</v>
      </c>
      <c r="D46" s="4">
        <v>15</v>
      </c>
      <c r="E46" s="6" t="str" cm="1">
        <f t="array" ref="E46">_xlfn.IFS(D46&lt;=5,"Newcomer",AND(D46&gt;=6,D46&lt;=10),"Proficient",D46&gt;10,"Expert")</f>
        <v>Expert</v>
      </c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 t="str" cm="1">
        <f t="array" ref="M46">_xlfn.IFS(L46="Retirement","Voluntary",L46="Resignation","Voluntary",L46="Layoff","InVoluntary")</f>
        <v>Voluntary</v>
      </c>
      <c r="N46" s="4" t="s">
        <v>26</v>
      </c>
      <c r="O46" s="41"/>
      <c r="P46">
        <v>1</v>
      </c>
      <c r="Q46" t="s">
        <v>173</v>
      </c>
    </row>
    <row r="47" spans="1:17" x14ac:dyDescent="0.35">
      <c r="A47" s="4">
        <v>1402</v>
      </c>
      <c r="B47" s="5">
        <v>36699</v>
      </c>
      <c r="C47" s="5">
        <v>43839</v>
      </c>
      <c r="D47" s="4">
        <v>20</v>
      </c>
      <c r="E47" s="6" t="str" cm="1">
        <f t="array" ref="E47">_xlfn.IFS(D47&lt;=5,"Newcomer",AND(D47&gt;=6,D47&lt;=10),"Proficient",D47&gt;10,"Expert")</f>
        <v>Expert</v>
      </c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 t="str" cm="1">
        <f t="array" ref="M47">_xlfn.IFS(L47="Retirement","Voluntary",L47="Resignation","Voluntary",L47="Layoff","InVoluntary")</f>
        <v>Voluntary</v>
      </c>
      <c r="N47" s="4" t="s">
        <v>20</v>
      </c>
      <c r="O47" s="41"/>
      <c r="P47">
        <v>1</v>
      </c>
      <c r="Q47" t="s">
        <v>173</v>
      </c>
    </row>
    <row r="48" spans="1:17" x14ac:dyDescent="0.35">
      <c r="A48" s="4">
        <v>1403</v>
      </c>
      <c r="B48" s="5">
        <v>39854</v>
      </c>
      <c r="C48" s="5">
        <v>43910</v>
      </c>
      <c r="D48" s="4">
        <v>11</v>
      </c>
      <c r="E48" s="6" t="str" cm="1">
        <f t="array" ref="E48">_xlfn.IFS(D48&lt;=5,"Newcomer",AND(D48&gt;=6,D48&lt;=10),"Proficient",D48&gt;10,"Expert")</f>
        <v>Expert</v>
      </c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 t="str" cm="1">
        <f t="array" ref="M48">_xlfn.IFS(L48="Retirement","Voluntary",L48="Resignation","Voluntary",L48="Layoff","InVoluntary")</f>
        <v>Voluntary</v>
      </c>
      <c r="N48" s="4" t="s">
        <v>26</v>
      </c>
      <c r="O48" s="41"/>
      <c r="P48">
        <v>1</v>
      </c>
      <c r="Q48" t="s">
        <v>173</v>
      </c>
    </row>
    <row r="49" spans="1:17" x14ac:dyDescent="0.35">
      <c r="A49" s="4">
        <v>1404</v>
      </c>
      <c r="B49" s="5">
        <v>33016</v>
      </c>
      <c r="C49" s="5">
        <v>43938</v>
      </c>
      <c r="D49" s="4">
        <v>30</v>
      </c>
      <c r="E49" s="6" t="str" cm="1">
        <f t="array" ref="E49">_xlfn.IFS(D49&lt;=5,"Newcomer",AND(D49&gt;=6,D49&lt;=10),"Proficient",D49&gt;10,"Expert")</f>
        <v>Expert</v>
      </c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 t="str" cm="1">
        <f t="array" ref="M49">_xlfn.IFS(L49="Retirement","Voluntary",L49="Resignation","Voluntary",L49="Layoff","InVoluntary")</f>
        <v>Voluntary</v>
      </c>
      <c r="N49" s="4" t="s">
        <v>20</v>
      </c>
      <c r="O49" s="41"/>
      <c r="P49">
        <v>1</v>
      </c>
      <c r="Q49" t="s">
        <v>173</v>
      </c>
    </row>
    <row r="50" spans="1:17" x14ac:dyDescent="0.35">
      <c r="A50" s="4">
        <v>1405</v>
      </c>
      <c r="B50" s="5">
        <v>39679</v>
      </c>
      <c r="C50" s="5">
        <v>44019</v>
      </c>
      <c r="D50" s="4">
        <v>12</v>
      </c>
      <c r="E50" s="6" t="str" cm="1">
        <f t="array" ref="E50">_xlfn.IFS(D50&lt;=5,"Newcomer",AND(D50&gt;=6,D50&lt;=10),"Proficient",D50&gt;10,"Expert")</f>
        <v>Expert</v>
      </c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 t="str" cm="1">
        <f t="array" ref="M50">_xlfn.IFS(L50="Retirement","Voluntary",L50="Resignation","Voluntary",L50="Layoff","InVoluntary")</f>
        <v>Voluntary</v>
      </c>
      <c r="N50" s="4" t="s">
        <v>20</v>
      </c>
      <c r="O50" s="41"/>
      <c r="P50">
        <v>1</v>
      </c>
      <c r="Q50" t="s">
        <v>173</v>
      </c>
    </row>
    <row r="51" spans="1:17" x14ac:dyDescent="0.35">
      <c r="A51" s="4">
        <v>1406</v>
      </c>
      <c r="B51" s="5">
        <v>37238</v>
      </c>
      <c r="C51" s="5">
        <v>43915</v>
      </c>
      <c r="D51" s="4">
        <v>19</v>
      </c>
      <c r="E51" s="6" t="str" cm="1">
        <f t="array" ref="E51">_xlfn.IFS(D51&lt;=5,"Newcomer",AND(D51&gt;=6,D51&lt;=10),"Proficient",D51&gt;10,"Expert")</f>
        <v>Expert</v>
      </c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 t="str" cm="1">
        <f t="array" ref="M51">_xlfn.IFS(L51="Retirement","Voluntary",L51="Resignation","Voluntary",L51="Layoff","InVoluntary")</f>
        <v>Voluntary</v>
      </c>
      <c r="N51" s="4" t="s">
        <v>20</v>
      </c>
      <c r="O51" s="41"/>
      <c r="P51">
        <v>1</v>
      </c>
      <c r="Q51" t="s">
        <v>173</v>
      </c>
    </row>
    <row r="52" spans="1:17" x14ac:dyDescent="0.35">
      <c r="A52" s="4">
        <v>1408</v>
      </c>
      <c r="B52" s="5">
        <v>41163</v>
      </c>
      <c r="C52" s="5">
        <v>43846</v>
      </c>
      <c r="D52" s="4">
        <v>8</v>
      </c>
      <c r="E52" s="6" t="str" cm="1">
        <f t="array" ref="E52">_xlfn.IFS(D52&lt;=5,"Newcomer",AND(D52&gt;=6,D52&lt;=10),"Proficient",D52&gt;10,"Expert")</f>
        <v>Proficient</v>
      </c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 t="str" cm="1">
        <f t="array" ref="M52">_xlfn.IFS(L52="Retirement","Voluntary",L52="Resignation","Voluntary",L52="Layoff","InVoluntary")</f>
        <v>Voluntary</v>
      </c>
      <c r="N52" s="4" t="s">
        <v>26</v>
      </c>
      <c r="O52" s="41"/>
      <c r="P52">
        <v>1</v>
      </c>
      <c r="Q52" t="s">
        <v>173</v>
      </c>
    </row>
    <row r="53" spans="1:17" x14ac:dyDescent="0.35">
      <c r="A53" s="4">
        <v>1409</v>
      </c>
      <c r="B53" s="5">
        <v>37537</v>
      </c>
      <c r="C53" s="5">
        <v>44033</v>
      </c>
      <c r="D53" s="4">
        <v>18</v>
      </c>
      <c r="E53" s="6" t="str" cm="1">
        <f t="array" ref="E53">_xlfn.IFS(D53&lt;=5,"Newcomer",AND(D53&gt;=6,D53&lt;=10),"Proficient",D53&gt;10,"Expert")</f>
        <v>Expert</v>
      </c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 t="str" cm="1">
        <f t="array" ref="M53">_xlfn.IFS(L53="Retirement","Voluntary",L53="Resignation","Voluntary",L53="Layoff","InVoluntary")</f>
        <v>Voluntary</v>
      </c>
      <c r="N53" s="4" t="s">
        <v>20</v>
      </c>
      <c r="O53" s="41"/>
      <c r="P53">
        <v>1</v>
      </c>
      <c r="Q53" t="s">
        <v>173</v>
      </c>
    </row>
    <row r="54" spans="1:17" x14ac:dyDescent="0.35">
      <c r="A54" s="4">
        <v>1411</v>
      </c>
      <c r="B54" s="5">
        <v>36923</v>
      </c>
      <c r="C54" s="5">
        <v>43836</v>
      </c>
      <c r="D54" s="4">
        <v>19</v>
      </c>
      <c r="E54" s="6" t="str" cm="1">
        <f t="array" ref="E54">_xlfn.IFS(D54&lt;=5,"Newcomer",AND(D54&gt;=6,D54&lt;=10),"Proficient",D54&gt;10,"Expert")</f>
        <v>Expert</v>
      </c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 t="str" cm="1">
        <f t="array" ref="M54">_xlfn.IFS(L54="Retirement","Voluntary",L54="Resignation","Voluntary",L54="Layoff","InVoluntary")</f>
        <v>Voluntary</v>
      </c>
      <c r="N54" s="4" t="s">
        <v>26</v>
      </c>
      <c r="O54" s="41"/>
      <c r="P54">
        <v>1</v>
      </c>
      <c r="Q54" t="s">
        <v>173</v>
      </c>
    </row>
    <row r="55" spans="1:17" x14ac:dyDescent="0.35">
      <c r="A55" s="4">
        <v>1412</v>
      </c>
      <c r="B55" s="5">
        <v>35970</v>
      </c>
      <c r="C55" s="5">
        <v>44183</v>
      </c>
      <c r="D55" s="4">
        <v>22</v>
      </c>
      <c r="E55" s="6" t="str" cm="1">
        <f t="array" ref="E55">_xlfn.IFS(D55&lt;=5,"Newcomer",AND(D55&gt;=6,D55&lt;=10),"Proficient",D55&gt;10,"Expert")</f>
        <v>Expert</v>
      </c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 t="str" cm="1">
        <f t="array" ref="M55">_xlfn.IFS(L55="Retirement","Voluntary",L55="Resignation","Voluntary",L55="Layoff","InVoluntary")</f>
        <v>Voluntary</v>
      </c>
      <c r="N55" s="4" t="s">
        <v>20</v>
      </c>
      <c r="O55" s="41"/>
      <c r="P55">
        <v>1</v>
      </c>
      <c r="Q55" t="s">
        <v>173</v>
      </c>
    </row>
    <row r="56" spans="1:17" x14ac:dyDescent="0.35">
      <c r="A56" s="4">
        <v>1413</v>
      </c>
      <c r="B56" s="5">
        <v>32900</v>
      </c>
      <c r="C56" s="5">
        <v>43972</v>
      </c>
      <c r="D56" s="4">
        <v>30</v>
      </c>
      <c r="E56" s="6" t="str" cm="1">
        <f t="array" ref="E56">_xlfn.IFS(D56&lt;=5,"Newcomer",AND(D56&gt;=6,D56&lt;=10),"Proficient",D56&gt;10,"Expert")</f>
        <v>Expert</v>
      </c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 t="str" cm="1">
        <f t="array" ref="M56">_xlfn.IFS(L56="Retirement","Voluntary",L56="Resignation","Voluntary",L56="Layoff","InVoluntary")</f>
        <v>Voluntary</v>
      </c>
      <c r="N56" s="4" t="s">
        <v>20</v>
      </c>
      <c r="O56" s="41"/>
      <c r="P56">
        <v>1</v>
      </c>
      <c r="Q56" t="s">
        <v>173</v>
      </c>
    </row>
    <row r="57" spans="1:17" x14ac:dyDescent="0.35">
      <c r="A57" s="4">
        <v>1414</v>
      </c>
      <c r="B57" s="5">
        <v>36419</v>
      </c>
      <c r="C57" s="5">
        <v>44168</v>
      </c>
      <c r="D57" s="4">
        <v>21</v>
      </c>
      <c r="E57" s="6" t="str" cm="1">
        <f t="array" ref="E57">_xlfn.IFS(D57&lt;=5,"Newcomer",AND(D57&gt;=6,D57&lt;=10),"Proficient",D57&gt;10,"Expert")</f>
        <v>Expert</v>
      </c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 t="str" cm="1">
        <f t="array" ref="M57">_xlfn.IFS(L57="Retirement","Voluntary",L57="Resignation","Voluntary",L57="Layoff","InVoluntary")</f>
        <v>Voluntary</v>
      </c>
      <c r="N57" s="4" t="s">
        <v>20</v>
      </c>
      <c r="O57" s="41"/>
      <c r="P57">
        <v>1</v>
      </c>
      <c r="Q57" t="s">
        <v>173</v>
      </c>
    </row>
    <row r="58" spans="1:17" x14ac:dyDescent="0.35">
      <c r="A58" s="4">
        <v>1417</v>
      </c>
      <c r="B58" s="5">
        <v>40297</v>
      </c>
      <c r="C58" s="5">
        <v>43899</v>
      </c>
      <c r="D58" s="4">
        <v>10</v>
      </c>
      <c r="E58" s="6" t="str" cm="1">
        <f t="array" ref="E58">_xlfn.IFS(D58&lt;=5,"Newcomer",AND(D58&gt;=6,D58&lt;=10),"Proficient",D58&gt;10,"Expert")</f>
        <v>Proficient</v>
      </c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 t="str" cm="1">
        <f t="array" ref="M58">_xlfn.IFS(L58="Retirement","Voluntary",L58="Resignation","Voluntary",L58="Layoff","InVoluntary")</f>
        <v>Voluntary</v>
      </c>
      <c r="N58" s="4" t="s">
        <v>26</v>
      </c>
      <c r="O58" s="41"/>
      <c r="P58">
        <v>1</v>
      </c>
      <c r="Q58" t="s">
        <v>173</v>
      </c>
    </row>
    <row r="59" spans="1:17" x14ac:dyDescent="0.35">
      <c r="A59" s="4">
        <v>1419</v>
      </c>
      <c r="B59" s="5">
        <v>35803</v>
      </c>
      <c r="C59" s="5">
        <v>43934</v>
      </c>
      <c r="D59" s="4">
        <v>22</v>
      </c>
      <c r="E59" s="6" t="str" cm="1">
        <f t="array" ref="E59">_xlfn.IFS(D59&lt;=5,"Newcomer",AND(D59&gt;=6,D59&lt;=10),"Proficient",D59&gt;10,"Expert")</f>
        <v>Expert</v>
      </c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 t="str" cm="1">
        <f t="array" ref="M59">_xlfn.IFS(L59="Retirement","Voluntary",L59="Resignation","Voluntary",L59="Layoff","InVoluntary")</f>
        <v>Voluntary</v>
      </c>
      <c r="N59" s="4" t="s">
        <v>26</v>
      </c>
      <c r="O59" s="41"/>
      <c r="P59">
        <v>1</v>
      </c>
      <c r="Q59" t="s">
        <v>173</v>
      </c>
    </row>
    <row r="60" spans="1:17" x14ac:dyDescent="0.35">
      <c r="A60" s="4">
        <v>1421</v>
      </c>
      <c r="B60" s="5">
        <v>42177</v>
      </c>
      <c r="C60" s="5">
        <v>44164</v>
      </c>
      <c r="D60" s="4">
        <v>5</v>
      </c>
      <c r="E60" s="6" t="str" cm="1">
        <f t="array" ref="E60">_xlfn.IFS(D60&lt;=5,"Newcomer",AND(D60&gt;=6,D60&lt;=10),"Proficient",D60&gt;10,"Expert")</f>
        <v>Newcomer</v>
      </c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 t="str" cm="1">
        <f t="array" ref="M60">_xlfn.IFS(L60="Retirement","Voluntary",L60="Resignation","Voluntary",L60="Layoff","InVoluntary")</f>
        <v>Voluntary</v>
      </c>
      <c r="N60" s="4" t="s">
        <v>26</v>
      </c>
      <c r="O60" s="41"/>
      <c r="P60">
        <v>1</v>
      </c>
      <c r="Q60" t="s">
        <v>173</v>
      </c>
    </row>
    <row r="61" spans="1:17" x14ac:dyDescent="0.35">
      <c r="A61" s="4">
        <v>1422</v>
      </c>
      <c r="B61" s="5">
        <v>41225</v>
      </c>
      <c r="C61" s="5">
        <v>44157</v>
      </c>
      <c r="D61" s="4">
        <v>8</v>
      </c>
      <c r="E61" s="6" t="str" cm="1">
        <f t="array" ref="E61">_xlfn.IFS(D61&lt;=5,"Newcomer",AND(D61&gt;=6,D61&lt;=10),"Proficient",D61&gt;10,"Expert")</f>
        <v>Proficient</v>
      </c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 t="str" cm="1">
        <f t="array" ref="M61">_xlfn.IFS(L61="Retirement","Voluntary",L61="Resignation","Voluntary",L61="Layoff","InVoluntary")</f>
        <v>Voluntary</v>
      </c>
      <c r="N61" s="4" t="s">
        <v>26</v>
      </c>
      <c r="O61" s="41"/>
      <c r="P61">
        <v>1</v>
      </c>
      <c r="Q61" t="s">
        <v>173</v>
      </c>
    </row>
    <row r="62" spans="1:17" x14ac:dyDescent="0.35">
      <c r="A62" s="4">
        <v>1425</v>
      </c>
      <c r="B62" s="5">
        <v>37206</v>
      </c>
      <c r="C62" s="5">
        <v>44048</v>
      </c>
      <c r="D62" s="4">
        <v>19</v>
      </c>
      <c r="E62" s="6" t="str" cm="1">
        <f t="array" ref="E62">_xlfn.IFS(D62&lt;=5,"Newcomer",AND(D62&gt;=6,D62&lt;=10),"Proficient",D62&gt;10,"Expert")</f>
        <v>Expert</v>
      </c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 t="str" cm="1">
        <f t="array" ref="M62">_xlfn.IFS(L62="Retirement","Voluntary",L62="Resignation","Voluntary",L62="Layoff","InVoluntary")</f>
        <v>Voluntary</v>
      </c>
      <c r="N62" s="4" t="s">
        <v>26</v>
      </c>
      <c r="O62" s="41"/>
      <c r="P62">
        <v>1</v>
      </c>
      <c r="Q62" t="s">
        <v>173</v>
      </c>
    </row>
    <row r="63" spans="1:17" x14ac:dyDescent="0.35">
      <c r="A63" s="4">
        <v>1427</v>
      </c>
      <c r="B63" s="5">
        <v>40222</v>
      </c>
      <c r="C63" s="5">
        <v>43887</v>
      </c>
      <c r="D63" s="4">
        <v>10</v>
      </c>
      <c r="E63" s="6" t="str" cm="1">
        <f t="array" ref="E63">_xlfn.IFS(D63&lt;=5,"Newcomer",AND(D63&gt;=6,D63&lt;=10),"Proficient",D63&gt;10,"Expert")</f>
        <v>Proficient</v>
      </c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 t="str" cm="1">
        <f t="array" ref="M63">_xlfn.IFS(L63="Retirement","Voluntary",L63="Resignation","Voluntary",L63="Layoff","InVoluntary")</f>
        <v>Voluntary</v>
      </c>
      <c r="N63" s="4" t="s">
        <v>26</v>
      </c>
      <c r="O63" s="41"/>
      <c r="P63">
        <v>1</v>
      </c>
      <c r="Q63" t="s">
        <v>173</v>
      </c>
    </row>
    <row r="64" spans="1:17" x14ac:dyDescent="0.35">
      <c r="A64" s="4">
        <v>1428</v>
      </c>
      <c r="B64" s="5">
        <v>36666</v>
      </c>
      <c r="C64" s="5">
        <v>44111</v>
      </c>
      <c r="D64" s="4">
        <v>20</v>
      </c>
      <c r="E64" s="6" t="str" cm="1">
        <f t="array" ref="E64">_xlfn.IFS(D64&lt;=5,"Newcomer",AND(D64&gt;=6,D64&lt;=10),"Proficient",D64&gt;10,"Expert")</f>
        <v>Expert</v>
      </c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 t="str" cm="1">
        <f t="array" ref="M64">_xlfn.IFS(L64="Retirement","Voluntary",L64="Resignation","Voluntary",L64="Layoff","InVoluntary")</f>
        <v>Voluntary</v>
      </c>
      <c r="N64" s="4" t="s">
        <v>26</v>
      </c>
      <c r="O64" s="41"/>
      <c r="P64">
        <v>1</v>
      </c>
      <c r="Q64" t="s">
        <v>173</v>
      </c>
    </row>
    <row r="65" spans="1:17" x14ac:dyDescent="0.35">
      <c r="A65" s="4">
        <v>1430</v>
      </c>
      <c r="B65" s="5">
        <v>41469</v>
      </c>
      <c r="C65" s="5">
        <v>44104</v>
      </c>
      <c r="D65" s="4">
        <v>7</v>
      </c>
      <c r="E65" s="6" t="str" cm="1">
        <f t="array" ref="E65">_xlfn.IFS(D65&lt;=5,"Newcomer",AND(D65&gt;=6,D65&lt;=10),"Proficient",D65&gt;10,"Expert")</f>
        <v>Proficient</v>
      </c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 t="str" cm="1">
        <f t="array" ref="M65">_xlfn.IFS(L65="Retirement","Voluntary",L65="Resignation","Voluntary",L65="Layoff","InVoluntary")</f>
        <v>Voluntary</v>
      </c>
      <c r="N65" s="4" t="s">
        <v>26</v>
      </c>
      <c r="O65" s="41"/>
      <c r="P65">
        <v>1</v>
      </c>
      <c r="Q65" t="s">
        <v>173</v>
      </c>
    </row>
    <row r="66" spans="1:17" x14ac:dyDescent="0.35">
      <c r="A66" s="4">
        <v>1431</v>
      </c>
      <c r="B66" s="5">
        <v>37423</v>
      </c>
      <c r="C66" s="5">
        <v>44132</v>
      </c>
      <c r="D66" s="4">
        <v>18</v>
      </c>
      <c r="E66" s="6" t="str" cm="1">
        <f t="array" ref="E66">_xlfn.IFS(D66&lt;=5,"Newcomer",AND(D66&gt;=6,D66&lt;=10),"Proficient",D66&gt;10,"Expert")</f>
        <v>Expert</v>
      </c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 t="str" cm="1">
        <f t="array" ref="M66">_xlfn.IFS(L66="Retirement","Voluntary",L66="Resignation","Voluntary",L66="Layoff","InVoluntary")</f>
        <v>Voluntary</v>
      </c>
      <c r="N66" s="4" t="s">
        <v>26</v>
      </c>
      <c r="O66" s="41"/>
      <c r="P66">
        <v>1</v>
      </c>
      <c r="Q66" t="s">
        <v>173</v>
      </c>
    </row>
    <row r="67" spans="1:17" x14ac:dyDescent="0.35">
      <c r="A67" s="4">
        <v>1433</v>
      </c>
      <c r="B67" s="5">
        <v>40145</v>
      </c>
      <c r="C67" s="5">
        <v>44177</v>
      </c>
      <c r="D67" s="4">
        <v>11</v>
      </c>
      <c r="E67" s="6" t="str" cm="1">
        <f t="array" ref="E67">_xlfn.IFS(D67&lt;=5,"Newcomer",AND(D67&gt;=6,D67&lt;=10),"Proficient",D67&gt;10,"Expert")</f>
        <v>Expert</v>
      </c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 t="str" cm="1">
        <f t="array" ref="M67">_xlfn.IFS(L67="Retirement","Voluntary",L67="Resignation","Voluntary",L67="Layoff","InVoluntary")</f>
        <v>Voluntary</v>
      </c>
      <c r="N67" s="4" t="s">
        <v>26</v>
      </c>
      <c r="O67" s="41"/>
      <c r="P67">
        <v>1</v>
      </c>
      <c r="Q67" t="s">
        <v>173</v>
      </c>
    </row>
    <row r="68" spans="1:17" x14ac:dyDescent="0.35">
      <c r="A68" s="4">
        <v>1434</v>
      </c>
      <c r="B68" s="5">
        <v>35886</v>
      </c>
      <c r="C68" s="5">
        <v>43937</v>
      </c>
      <c r="D68" s="4">
        <v>22</v>
      </c>
      <c r="E68" s="6" t="str" cm="1">
        <f t="array" ref="E68">_xlfn.IFS(D68&lt;=5,"Newcomer",AND(D68&gt;=6,D68&lt;=10),"Proficient",D68&gt;10,"Expert")</f>
        <v>Expert</v>
      </c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 t="str" cm="1">
        <f t="array" ref="M68">_xlfn.IFS(L68="Retirement","Voluntary",L68="Resignation","Voluntary",L68="Layoff","InVoluntary")</f>
        <v>Voluntary</v>
      </c>
      <c r="N68" s="4" t="s">
        <v>26</v>
      </c>
      <c r="O68" s="41"/>
      <c r="P68">
        <v>1</v>
      </c>
      <c r="Q68" t="s">
        <v>173</v>
      </c>
    </row>
    <row r="69" spans="1:17" x14ac:dyDescent="0.35">
      <c r="A69" s="4">
        <v>1435</v>
      </c>
      <c r="B69" s="5">
        <v>36787</v>
      </c>
      <c r="C69" s="5">
        <v>43975</v>
      </c>
      <c r="D69" s="4">
        <v>20</v>
      </c>
      <c r="E69" s="6" t="str" cm="1">
        <f t="array" ref="E69">_xlfn.IFS(D69&lt;=5,"Newcomer",AND(D69&gt;=6,D69&lt;=10),"Proficient",D69&gt;10,"Expert")</f>
        <v>Expert</v>
      </c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 t="str" cm="1">
        <f t="array" ref="M69">_xlfn.IFS(L69="Retirement","Voluntary",L69="Resignation","Voluntary",L69="Layoff","InVoluntary")</f>
        <v>Voluntary</v>
      </c>
      <c r="N69" s="4" t="s">
        <v>26</v>
      </c>
      <c r="O69" s="41"/>
      <c r="P69">
        <v>1</v>
      </c>
      <c r="Q69" t="s">
        <v>173</v>
      </c>
    </row>
    <row r="70" spans="1:17" x14ac:dyDescent="0.35">
      <c r="A70" s="4">
        <v>1436</v>
      </c>
      <c r="B70" s="5">
        <v>37100</v>
      </c>
      <c r="C70" s="5">
        <v>44195</v>
      </c>
      <c r="D70" s="4">
        <v>19</v>
      </c>
      <c r="E70" s="6" t="str" cm="1">
        <f t="array" ref="E70">_xlfn.IFS(D70&lt;=5,"Newcomer",AND(D70&gt;=6,D70&lt;=10),"Proficient",D70&gt;10,"Expert")</f>
        <v>Expert</v>
      </c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 t="str" cm="1">
        <f t="array" ref="M70">_xlfn.IFS(L70="Retirement","Voluntary",L70="Resignation","Voluntary",L70="Layoff","InVoluntary")</f>
        <v>Voluntary</v>
      </c>
      <c r="N70" s="4" t="s">
        <v>26</v>
      </c>
      <c r="O70" s="41"/>
      <c r="P70">
        <v>1</v>
      </c>
      <c r="Q70" t="s">
        <v>173</v>
      </c>
    </row>
    <row r="71" spans="1:17" x14ac:dyDescent="0.35">
      <c r="A71" s="4">
        <v>1438</v>
      </c>
      <c r="B71" s="5">
        <v>39874</v>
      </c>
      <c r="C71" s="5">
        <v>44160</v>
      </c>
      <c r="D71" s="4">
        <v>11</v>
      </c>
      <c r="E71" s="6" t="str" cm="1">
        <f t="array" ref="E71">_xlfn.IFS(D71&lt;=5,"Newcomer",AND(D71&gt;=6,D71&lt;=10),"Proficient",D71&gt;10,"Expert")</f>
        <v>Expert</v>
      </c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 t="str" cm="1">
        <f t="array" ref="M71">_xlfn.IFS(L71="Retirement","Voluntary",L71="Resignation","Voluntary",L71="Layoff","InVoluntary")</f>
        <v>Voluntary</v>
      </c>
      <c r="N71" s="4" t="s">
        <v>26</v>
      </c>
      <c r="O71" s="41"/>
      <c r="P71">
        <v>1</v>
      </c>
      <c r="Q71" t="s">
        <v>173</v>
      </c>
    </row>
    <row r="72" spans="1:17" x14ac:dyDescent="0.35">
      <c r="A72" s="4">
        <v>1439</v>
      </c>
      <c r="B72" s="5">
        <v>34862</v>
      </c>
      <c r="C72" s="5">
        <v>43883</v>
      </c>
      <c r="D72" s="4">
        <v>25</v>
      </c>
      <c r="E72" s="6" t="str" cm="1">
        <f t="array" ref="E72">_xlfn.IFS(D72&lt;=5,"Newcomer",AND(D72&gt;=6,D72&lt;=10),"Proficient",D72&gt;10,"Expert")</f>
        <v>Expert</v>
      </c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 t="str" cm="1">
        <f t="array" ref="M72">_xlfn.IFS(L72="Retirement","Voluntary",L72="Resignation","Voluntary",L72="Layoff","InVoluntary")</f>
        <v>Voluntary</v>
      </c>
      <c r="N72" s="4" t="s">
        <v>26</v>
      </c>
      <c r="O72" s="41"/>
      <c r="P72">
        <v>1</v>
      </c>
      <c r="Q72" t="s">
        <v>173</v>
      </c>
    </row>
    <row r="73" spans="1:17" x14ac:dyDescent="0.35">
      <c r="A73" s="4">
        <v>1440</v>
      </c>
      <c r="B73" s="5">
        <v>42044</v>
      </c>
      <c r="C73" s="5">
        <v>43937</v>
      </c>
      <c r="D73" s="4">
        <v>5</v>
      </c>
      <c r="E73" s="6" t="str" cm="1">
        <f t="array" ref="E73">_xlfn.IFS(D73&lt;=5,"Newcomer",AND(D73&gt;=6,D73&lt;=10),"Proficient",D73&gt;10,"Expert")</f>
        <v>Newcomer</v>
      </c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 t="str" cm="1">
        <f t="array" ref="M73">_xlfn.IFS(L73="Retirement","Voluntary",L73="Resignation","Voluntary",L73="Layoff","InVoluntary")</f>
        <v>Voluntary</v>
      </c>
      <c r="N73" s="4" t="s">
        <v>26</v>
      </c>
      <c r="O73" s="41"/>
      <c r="P73">
        <v>1</v>
      </c>
      <c r="Q73" t="s">
        <v>173</v>
      </c>
    </row>
    <row r="74" spans="1:17" x14ac:dyDescent="0.35">
      <c r="A74" s="4">
        <v>1441</v>
      </c>
      <c r="B74" s="5">
        <v>33409</v>
      </c>
      <c r="C74" s="5">
        <v>43980</v>
      </c>
      <c r="D74" s="4">
        <v>29</v>
      </c>
      <c r="E74" s="6" t="str" cm="1">
        <f t="array" ref="E74">_xlfn.IFS(D74&lt;=5,"Newcomer",AND(D74&gt;=6,D74&lt;=10),"Proficient",D74&gt;10,"Expert")</f>
        <v>Expert</v>
      </c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 t="str" cm="1">
        <f t="array" ref="M74">_xlfn.IFS(L74="Retirement","Voluntary",L74="Resignation","Voluntary",L74="Layoff","InVoluntary")</f>
        <v>Voluntary</v>
      </c>
      <c r="N74" s="4" t="s">
        <v>20</v>
      </c>
      <c r="O74" s="41"/>
      <c r="P74">
        <v>1</v>
      </c>
      <c r="Q74" t="s">
        <v>173</v>
      </c>
    </row>
    <row r="75" spans="1:17" x14ac:dyDescent="0.35">
      <c r="A75" s="4">
        <v>1442</v>
      </c>
      <c r="B75" s="5">
        <v>33715</v>
      </c>
      <c r="C75" s="5">
        <v>44094</v>
      </c>
      <c r="D75" s="4">
        <v>28</v>
      </c>
      <c r="E75" s="6" t="str" cm="1">
        <f t="array" ref="E75">_xlfn.IFS(D75&lt;=5,"Newcomer",AND(D75&gt;=6,D75&lt;=10),"Proficient",D75&gt;10,"Expert")</f>
        <v>Expert</v>
      </c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 t="str" cm="1">
        <f t="array" ref="M75">_xlfn.IFS(L75="Retirement","Voluntary",L75="Resignation","Voluntary",L75="Layoff","InVoluntary")</f>
        <v>Voluntary</v>
      </c>
      <c r="N75" s="4" t="s">
        <v>26</v>
      </c>
      <c r="O75" s="41"/>
      <c r="P75">
        <v>1</v>
      </c>
      <c r="Q75" t="s">
        <v>173</v>
      </c>
    </row>
    <row r="76" spans="1:17" x14ac:dyDescent="0.35">
      <c r="A76" s="4">
        <v>1444</v>
      </c>
      <c r="B76" s="5">
        <v>38386</v>
      </c>
      <c r="C76" s="5">
        <v>44060</v>
      </c>
      <c r="D76" s="4">
        <v>15</v>
      </c>
      <c r="E76" s="6" t="str" cm="1">
        <f t="array" ref="E76">_xlfn.IFS(D76&lt;=5,"Newcomer",AND(D76&gt;=6,D76&lt;=10),"Proficient",D76&gt;10,"Expert")</f>
        <v>Expert</v>
      </c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 t="str" cm="1">
        <f t="array" ref="M76">_xlfn.IFS(L76="Retirement","Voluntary",L76="Resignation","Voluntary",L76="Layoff","InVoluntary")</f>
        <v>Voluntary</v>
      </c>
      <c r="N76" s="4" t="s">
        <v>26</v>
      </c>
      <c r="O76" s="41"/>
      <c r="P76">
        <v>1</v>
      </c>
      <c r="Q76" t="s">
        <v>173</v>
      </c>
    </row>
    <row r="77" spans="1:17" x14ac:dyDescent="0.35">
      <c r="A77" s="4">
        <v>1445</v>
      </c>
      <c r="B77" s="5">
        <v>36198</v>
      </c>
      <c r="C77" s="5">
        <v>44010</v>
      </c>
      <c r="D77" s="4">
        <v>21</v>
      </c>
      <c r="E77" s="6" t="str" cm="1">
        <f t="array" ref="E77">_xlfn.IFS(D77&lt;=5,"Newcomer",AND(D77&gt;=6,D77&lt;=10),"Proficient",D77&gt;10,"Expert")</f>
        <v>Expert</v>
      </c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 t="str" cm="1">
        <f t="array" ref="M77">_xlfn.IFS(L77="Retirement","Voluntary",L77="Resignation","Voluntary",L77="Layoff","InVoluntary")</f>
        <v>Voluntary</v>
      </c>
      <c r="N77" s="4" t="s">
        <v>26</v>
      </c>
      <c r="O77" s="41"/>
      <c r="P77">
        <v>1</v>
      </c>
      <c r="Q77" t="s">
        <v>173</v>
      </c>
    </row>
    <row r="78" spans="1:17" x14ac:dyDescent="0.35">
      <c r="A78" s="4">
        <v>1446</v>
      </c>
      <c r="B78" s="5">
        <v>38923</v>
      </c>
      <c r="C78" s="5">
        <v>44082</v>
      </c>
      <c r="D78" s="4">
        <v>14</v>
      </c>
      <c r="E78" s="6" t="str" cm="1">
        <f t="array" ref="E78">_xlfn.IFS(D78&lt;=5,"Newcomer",AND(D78&gt;=6,D78&lt;=10),"Proficient",D78&gt;10,"Expert")</f>
        <v>Expert</v>
      </c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 t="str" cm="1">
        <f t="array" ref="M78">_xlfn.IFS(L78="Retirement","Voluntary",L78="Resignation","Voluntary",L78="Layoff","InVoluntary")</f>
        <v>Voluntary</v>
      </c>
      <c r="N78" s="4" t="s">
        <v>26</v>
      </c>
      <c r="O78" s="41"/>
      <c r="P78">
        <v>1</v>
      </c>
      <c r="Q78" t="s">
        <v>173</v>
      </c>
    </row>
    <row r="79" spans="1:17" x14ac:dyDescent="0.35">
      <c r="A79" s="4">
        <v>1447</v>
      </c>
      <c r="B79" s="5">
        <v>37692</v>
      </c>
      <c r="C79" s="5">
        <v>44064</v>
      </c>
      <c r="D79" s="4">
        <v>17</v>
      </c>
      <c r="E79" s="6" t="str" cm="1">
        <f t="array" ref="E79">_xlfn.IFS(D79&lt;=5,"Newcomer",AND(D79&gt;=6,D79&lt;=10),"Proficient",D79&gt;10,"Expert")</f>
        <v>Expert</v>
      </c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 t="str" cm="1">
        <f t="array" ref="M79">_xlfn.IFS(L79="Retirement","Voluntary",L79="Resignation","Voluntary",L79="Layoff","InVoluntary")</f>
        <v>Voluntary</v>
      </c>
      <c r="N79" s="4" t="s">
        <v>20</v>
      </c>
      <c r="O79" s="41"/>
      <c r="P79">
        <v>1</v>
      </c>
      <c r="Q79" t="s">
        <v>173</v>
      </c>
    </row>
    <row r="80" spans="1:17" x14ac:dyDescent="0.35">
      <c r="A80" s="4">
        <v>1448</v>
      </c>
      <c r="B80" s="5">
        <v>38613</v>
      </c>
      <c r="C80" s="5">
        <v>44023</v>
      </c>
      <c r="D80" s="4">
        <v>15</v>
      </c>
      <c r="E80" s="6" t="str" cm="1">
        <f t="array" ref="E80">_xlfn.IFS(D80&lt;=5,"Newcomer",AND(D80&gt;=6,D80&lt;=10),"Proficient",D80&gt;10,"Expert")</f>
        <v>Expert</v>
      </c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 t="str" cm="1">
        <f t="array" ref="M80">_xlfn.IFS(L80="Retirement","Voluntary",L80="Resignation","Voluntary",L80="Layoff","InVoluntary")</f>
        <v>Voluntary</v>
      </c>
      <c r="N80" s="4" t="s">
        <v>20</v>
      </c>
      <c r="O80" s="41"/>
      <c r="P80">
        <v>1</v>
      </c>
      <c r="Q80" t="s">
        <v>173</v>
      </c>
    </row>
    <row r="81" spans="1:17" x14ac:dyDescent="0.35">
      <c r="A81" s="4">
        <v>1449</v>
      </c>
      <c r="B81" s="5">
        <v>35801</v>
      </c>
      <c r="C81" s="5">
        <v>44133</v>
      </c>
      <c r="D81" s="4">
        <v>22</v>
      </c>
      <c r="E81" s="6" t="str" cm="1">
        <f t="array" ref="E81">_xlfn.IFS(D81&lt;=5,"Newcomer",AND(D81&gt;=6,D81&lt;=10),"Proficient",D81&gt;10,"Expert")</f>
        <v>Expert</v>
      </c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 t="str" cm="1">
        <f t="array" ref="M81">_xlfn.IFS(L81="Retirement","Voluntary",L81="Resignation","Voluntary",L81="Layoff","InVoluntary")</f>
        <v>Voluntary</v>
      </c>
      <c r="N81" s="4" t="s">
        <v>26</v>
      </c>
      <c r="O81" s="41"/>
      <c r="P81">
        <v>1</v>
      </c>
      <c r="Q81" t="s">
        <v>173</v>
      </c>
    </row>
    <row r="82" spans="1:17" x14ac:dyDescent="0.35">
      <c r="A82" s="4">
        <v>1453</v>
      </c>
      <c r="B82" s="5">
        <v>39507</v>
      </c>
      <c r="C82" s="5">
        <v>44064</v>
      </c>
      <c r="D82" s="4">
        <v>12</v>
      </c>
      <c r="E82" s="6" t="str" cm="1">
        <f t="array" ref="E82">_xlfn.IFS(D82&lt;=5,"Newcomer",AND(D82&gt;=6,D82&lt;=10),"Proficient",D82&gt;10,"Expert")</f>
        <v>Expert</v>
      </c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 t="str" cm="1">
        <f t="array" ref="M82">_xlfn.IFS(L82="Retirement","Voluntary",L82="Resignation","Voluntary",L82="Layoff","InVoluntary")</f>
        <v>Voluntary</v>
      </c>
      <c r="N82" s="4" t="s">
        <v>26</v>
      </c>
      <c r="O82" s="41"/>
      <c r="P82">
        <v>1</v>
      </c>
      <c r="Q82" t="s">
        <v>173</v>
      </c>
    </row>
    <row r="83" spans="1:17" x14ac:dyDescent="0.35">
      <c r="A83" s="4">
        <v>1456</v>
      </c>
      <c r="B83" s="5">
        <v>40365</v>
      </c>
      <c r="C83" s="5">
        <v>43950</v>
      </c>
      <c r="D83" s="4">
        <v>10</v>
      </c>
      <c r="E83" s="6" t="str" cm="1">
        <f t="array" ref="E83">_xlfn.IFS(D83&lt;=5,"Newcomer",AND(D83&gt;=6,D83&lt;=10),"Proficient",D83&gt;10,"Expert")</f>
        <v>Proficient</v>
      </c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 t="str" cm="1">
        <f t="array" ref="M83">_xlfn.IFS(L83="Retirement","Voluntary",L83="Resignation","Voluntary",L83="Layoff","InVoluntary")</f>
        <v>Voluntary</v>
      </c>
      <c r="N83" s="4" t="s">
        <v>26</v>
      </c>
      <c r="O83" s="41"/>
      <c r="P83">
        <v>1</v>
      </c>
      <c r="Q83" t="s">
        <v>173</v>
      </c>
    </row>
    <row r="84" spans="1:17" x14ac:dyDescent="0.35">
      <c r="A84" s="4">
        <v>1458</v>
      </c>
      <c r="B84" s="5">
        <v>36697</v>
      </c>
      <c r="C84" s="5">
        <v>44136</v>
      </c>
      <c r="D84" s="4">
        <v>20</v>
      </c>
      <c r="E84" s="6" t="str" cm="1">
        <f t="array" ref="E84">_xlfn.IFS(D84&lt;=5,"Newcomer",AND(D84&gt;=6,D84&lt;=10),"Proficient",D84&gt;10,"Expert")</f>
        <v>Expert</v>
      </c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 t="str" cm="1">
        <f t="array" ref="M84">_xlfn.IFS(L84="Retirement","Voluntary",L84="Resignation","Voluntary",L84="Layoff","InVoluntary")</f>
        <v>Voluntary</v>
      </c>
      <c r="N84" s="4" t="s">
        <v>20</v>
      </c>
      <c r="O84" s="41"/>
      <c r="P84">
        <v>1</v>
      </c>
      <c r="Q84" t="s">
        <v>173</v>
      </c>
    </row>
    <row r="85" spans="1:17" x14ac:dyDescent="0.35">
      <c r="A85" s="4">
        <v>1460</v>
      </c>
      <c r="B85" s="5">
        <v>38138</v>
      </c>
      <c r="C85" s="5">
        <v>44038</v>
      </c>
      <c r="D85" s="4">
        <v>16</v>
      </c>
      <c r="E85" s="6" t="str" cm="1">
        <f t="array" ref="E85">_xlfn.IFS(D85&lt;=5,"Newcomer",AND(D85&gt;=6,D85&lt;=10),"Proficient",D85&gt;10,"Expert")</f>
        <v>Expert</v>
      </c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 t="str" cm="1">
        <f t="array" ref="M85">_xlfn.IFS(L85="Retirement","Voluntary",L85="Resignation","Voluntary",L85="Layoff","InVoluntary")</f>
        <v>Voluntary</v>
      </c>
      <c r="N85" s="4" t="s">
        <v>26</v>
      </c>
      <c r="O85" s="41"/>
      <c r="P85">
        <v>1</v>
      </c>
      <c r="Q85" t="s">
        <v>173</v>
      </c>
    </row>
    <row r="86" spans="1:17" x14ac:dyDescent="0.35">
      <c r="A86" s="4">
        <v>1461</v>
      </c>
      <c r="B86" s="5">
        <v>36631</v>
      </c>
      <c r="C86" s="5">
        <v>43948</v>
      </c>
      <c r="D86" s="4">
        <v>20</v>
      </c>
      <c r="E86" s="6" t="str" cm="1">
        <f t="array" ref="E86">_xlfn.IFS(D86&lt;=5,"Newcomer",AND(D86&gt;=6,D86&lt;=10),"Proficient",D86&gt;10,"Expert")</f>
        <v>Expert</v>
      </c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 t="str" cm="1">
        <f t="array" ref="M86">_xlfn.IFS(L86="Retirement","Voluntary",L86="Resignation","Voluntary",L86="Layoff","InVoluntary")</f>
        <v>Voluntary</v>
      </c>
      <c r="N86" s="4" t="s">
        <v>20</v>
      </c>
      <c r="O86" s="41"/>
      <c r="P86">
        <v>1</v>
      </c>
      <c r="Q86" t="s">
        <v>173</v>
      </c>
    </row>
    <row r="87" spans="1:17" x14ac:dyDescent="0.35">
      <c r="A87" s="4">
        <v>1463</v>
      </c>
      <c r="B87" s="5">
        <v>38948</v>
      </c>
      <c r="C87" s="5">
        <v>43876</v>
      </c>
      <c r="D87" s="4">
        <v>14</v>
      </c>
      <c r="E87" s="6" t="str" cm="1">
        <f t="array" ref="E87">_xlfn.IFS(D87&lt;=5,"Newcomer",AND(D87&gt;=6,D87&lt;=10),"Proficient",D87&gt;10,"Expert")</f>
        <v>Expert</v>
      </c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 t="str" cm="1">
        <f t="array" ref="M87">_xlfn.IFS(L87="Retirement","Voluntary",L87="Resignation","Voluntary",L87="Layoff","InVoluntary")</f>
        <v>Voluntary</v>
      </c>
      <c r="N87" s="4" t="s">
        <v>20</v>
      </c>
      <c r="O87" s="41"/>
      <c r="P87">
        <v>1</v>
      </c>
      <c r="Q87" t="s">
        <v>173</v>
      </c>
    </row>
    <row r="88" spans="1:17" x14ac:dyDescent="0.35">
      <c r="A88" s="4">
        <v>1465</v>
      </c>
      <c r="B88" s="5">
        <v>33148</v>
      </c>
      <c r="C88" s="5">
        <v>44111</v>
      </c>
      <c r="D88" s="4">
        <v>30</v>
      </c>
      <c r="E88" s="6" t="str" cm="1">
        <f t="array" ref="E88">_xlfn.IFS(D88&lt;=5,"Newcomer",AND(D88&gt;=6,D88&lt;=10),"Proficient",D88&gt;10,"Expert")</f>
        <v>Expert</v>
      </c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 t="str" cm="1">
        <f t="array" ref="M88">_xlfn.IFS(L88="Retirement","Voluntary",L88="Resignation","Voluntary",L88="Layoff","InVoluntary")</f>
        <v>Voluntary</v>
      </c>
      <c r="N88" s="4" t="s">
        <v>26</v>
      </c>
      <c r="O88" s="41"/>
      <c r="P88">
        <v>1</v>
      </c>
      <c r="Q88" t="s">
        <v>173</v>
      </c>
    </row>
    <row r="89" spans="1:17" x14ac:dyDescent="0.35">
      <c r="A89" s="4">
        <v>1466</v>
      </c>
      <c r="B89" s="5">
        <v>39926</v>
      </c>
      <c r="C89" s="5">
        <v>43954</v>
      </c>
      <c r="D89" s="4">
        <v>11</v>
      </c>
      <c r="E89" s="6" t="str" cm="1">
        <f t="array" ref="E89">_xlfn.IFS(D89&lt;=5,"Newcomer",AND(D89&gt;=6,D89&lt;=10),"Proficient",D89&gt;10,"Expert")</f>
        <v>Expert</v>
      </c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 t="str" cm="1">
        <f t="array" ref="M89">_xlfn.IFS(L89="Retirement","Voluntary",L89="Resignation","Voluntary",L89="Layoff","InVoluntary")</f>
        <v>Voluntary</v>
      </c>
      <c r="N89" s="4" t="s">
        <v>26</v>
      </c>
      <c r="O89" s="41"/>
      <c r="P89">
        <v>1</v>
      </c>
      <c r="Q89" t="s">
        <v>173</v>
      </c>
    </row>
    <row r="90" spans="1:17" x14ac:dyDescent="0.35">
      <c r="A90" s="4">
        <v>1469</v>
      </c>
      <c r="B90" s="5">
        <v>34213</v>
      </c>
      <c r="C90" s="5">
        <v>43972</v>
      </c>
      <c r="D90" s="4">
        <v>27</v>
      </c>
      <c r="E90" s="6" t="str" cm="1">
        <f t="array" ref="E90">_xlfn.IFS(D90&lt;=5,"Newcomer",AND(D90&gt;=6,D90&lt;=10),"Proficient",D90&gt;10,"Expert")</f>
        <v>Expert</v>
      </c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 t="str" cm="1">
        <f t="array" ref="M90">_xlfn.IFS(L90="Retirement","Voluntary",L90="Resignation","Voluntary",L90="Layoff","InVoluntary")</f>
        <v>Voluntary</v>
      </c>
      <c r="N90" s="4" t="s">
        <v>20</v>
      </c>
      <c r="O90" s="41"/>
      <c r="P90">
        <v>1</v>
      </c>
      <c r="Q90" t="s">
        <v>173</v>
      </c>
    </row>
    <row r="91" spans="1:17" x14ac:dyDescent="0.35">
      <c r="A91" s="4">
        <v>1470</v>
      </c>
      <c r="B91" s="5">
        <v>33887</v>
      </c>
      <c r="C91" s="5">
        <v>43912</v>
      </c>
      <c r="D91" s="4">
        <v>28</v>
      </c>
      <c r="E91" s="6" t="str" cm="1">
        <f t="array" ref="E91">_xlfn.IFS(D91&lt;=5,"Newcomer",AND(D91&gt;=6,D91&lt;=10),"Proficient",D91&gt;10,"Expert")</f>
        <v>Expert</v>
      </c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 t="str" cm="1">
        <f t="array" ref="M91">_xlfn.IFS(L91="Retirement","Voluntary",L91="Resignation","Voluntary",L91="Layoff","InVoluntary")</f>
        <v>Voluntary</v>
      </c>
      <c r="N91" s="4" t="s">
        <v>20</v>
      </c>
      <c r="O91" s="41"/>
      <c r="P91">
        <v>1</v>
      </c>
      <c r="Q91" t="s">
        <v>173</v>
      </c>
    </row>
    <row r="92" spans="1:17" x14ac:dyDescent="0.35">
      <c r="A92" s="4">
        <v>1474</v>
      </c>
      <c r="B92" s="5">
        <v>35963</v>
      </c>
      <c r="C92" s="5">
        <v>43863</v>
      </c>
      <c r="D92" s="4">
        <v>22</v>
      </c>
      <c r="E92" s="6" t="str" cm="1">
        <f t="array" ref="E92">_xlfn.IFS(D92&lt;=5,"Newcomer",AND(D92&gt;=6,D92&lt;=10),"Proficient",D92&gt;10,"Expert")</f>
        <v>Expert</v>
      </c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 t="str" cm="1">
        <f t="array" ref="M92">_xlfn.IFS(L92="Retirement","Voluntary",L92="Resignation","Voluntary",L92="Layoff","InVoluntary")</f>
        <v>Voluntary</v>
      </c>
      <c r="N92" s="4" t="s">
        <v>26</v>
      </c>
      <c r="O92" s="41"/>
      <c r="P92">
        <v>1</v>
      </c>
      <c r="Q92" t="s">
        <v>173</v>
      </c>
    </row>
    <row r="93" spans="1:17" x14ac:dyDescent="0.35">
      <c r="A93" s="4">
        <v>1475</v>
      </c>
      <c r="B93" s="5">
        <v>36427</v>
      </c>
      <c r="C93" s="5">
        <v>43909</v>
      </c>
      <c r="D93" s="4">
        <v>21</v>
      </c>
      <c r="E93" s="6" t="str" cm="1">
        <f t="array" ref="E93">_xlfn.IFS(D93&lt;=5,"Newcomer",AND(D93&gt;=6,D93&lt;=10),"Proficient",D93&gt;10,"Expert")</f>
        <v>Expert</v>
      </c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 t="str" cm="1">
        <f t="array" ref="M93">_xlfn.IFS(L93="Retirement","Voluntary",L93="Resignation","Voluntary",L93="Layoff","InVoluntary")</f>
        <v>Voluntary</v>
      </c>
      <c r="N93" s="4" t="s">
        <v>20</v>
      </c>
      <c r="O93" s="41"/>
      <c r="P93">
        <v>1</v>
      </c>
      <c r="Q93" t="s">
        <v>173</v>
      </c>
    </row>
    <row r="94" spans="1:17" x14ac:dyDescent="0.35">
      <c r="A94" s="4">
        <v>1476</v>
      </c>
      <c r="B94" s="5">
        <v>33149</v>
      </c>
      <c r="C94" s="5">
        <v>44144</v>
      </c>
      <c r="D94" s="4">
        <v>30</v>
      </c>
      <c r="E94" s="6" t="str" cm="1">
        <f t="array" ref="E94">_xlfn.IFS(D94&lt;=5,"Newcomer",AND(D94&gt;=6,D94&lt;=10),"Proficient",D94&gt;10,"Expert")</f>
        <v>Expert</v>
      </c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 t="str" cm="1">
        <f t="array" ref="M94">_xlfn.IFS(L94="Retirement","Voluntary",L94="Resignation","Voluntary",L94="Layoff","InVoluntary")</f>
        <v>Voluntary</v>
      </c>
      <c r="N94" s="4" t="s">
        <v>26</v>
      </c>
      <c r="O94" s="41"/>
      <c r="P94">
        <v>1</v>
      </c>
      <c r="Q94" t="s">
        <v>173</v>
      </c>
    </row>
    <row r="95" spans="1:17" x14ac:dyDescent="0.35">
      <c r="A95" s="4">
        <v>1480</v>
      </c>
      <c r="B95" s="5">
        <v>40829</v>
      </c>
      <c r="C95" s="5">
        <v>44113</v>
      </c>
      <c r="D95" s="4">
        <v>9</v>
      </c>
      <c r="E95" s="6" t="str" cm="1">
        <f t="array" ref="E95">_xlfn.IFS(D95&lt;=5,"Newcomer",AND(D95&gt;=6,D95&lt;=10),"Proficient",D95&gt;10,"Expert")</f>
        <v>Proficient</v>
      </c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 t="str" cm="1">
        <f t="array" ref="M95">_xlfn.IFS(L95="Retirement","Voluntary",L95="Resignation","Voluntary",L95="Layoff","InVoluntary")</f>
        <v>Voluntary</v>
      </c>
      <c r="N95" s="4" t="s">
        <v>20</v>
      </c>
      <c r="O95" s="41"/>
      <c r="P95">
        <v>1</v>
      </c>
      <c r="Q95" t="s">
        <v>173</v>
      </c>
    </row>
    <row r="96" spans="1:17" x14ac:dyDescent="0.35">
      <c r="A96" s="4">
        <v>1481</v>
      </c>
      <c r="B96" s="5">
        <v>40490</v>
      </c>
      <c r="C96" s="5">
        <v>44158</v>
      </c>
      <c r="D96" s="4">
        <v>10</v>
      </c>
      <c r="E96" s="6" t="str" cm="1">
        <f t="array" ref="E96">_xlfn.IFS(D96&lt;=5,"Newcomer",AND(D96&gt;=6,D96&lt;=10),"Proficient",D96&gt;10,"Expert")</f>
        <v>Proficient</v>
      </c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 t="str" cm="1">
        <f t="array" ref="M96">_xlfn.IFS(L96="Retirement","Voluntary",L96="Resignation","Voluntary",L96="Layoff","InVoluntary")</f>
        <v>Voluntary</v>
      </c>
      <c r="N96" s="4" t="s">
        <v>26</v>
      </c>
      <c r="O96" s="41"/>
      <c r="P96">
        <v>1</v>
      </c>
      <c r="Q96" t="s">
        <v>173</v>
      </c>
    </row>
    <row r="97" spans="1:17" x14ac:dyDescent="0.35">
      <c r="A97" s="4">
        <v>1482</v>
      </c>
      <c r="B97" s="5">
        <v>41372</v>
      </c>
      <c r="C97" s="5">
        <v>44072</v>
      </c>
      <c r="D97" s="4">
        <v>7</v>
      </c>
      <c r="E97" s="6" t="str" cm="1">
        <f t="array" ref="E97">_xlfn.IFS(D97&lt;=5,"Newcomer",AND(D97&gt;=6,D97&lt;=10),"Proficient",D97&gt;10,"Expert")</f>
        <v>Proficient</v>
      </c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 t="str" cm="1">
        <f t="array" ref="M97">_xlfn.IFS(L97="Retirement","Voluntary",L97="Resignation","Voluntary",L97="Layoff","InVoluntary")</f>
        <v>Voluntary</v>
      </c>
      <c r="N97" s="4" t="s">
        <v>26</v>
      </c>
      <c r="O97" s="41"/>
      <c r="P97">
        <v>1</v>
      </c>
      <c r="Q97" t="s">
        <v>173</v>
      </c>
    </row>
    <row r="98" spans="1:17" x14ac:dyDescent="0.35">
      <c r="A98" s="4">
        <v>1483</v>
      </c>
      <c r="B98" s="5">
        <v>36071</v>
      </c>
      <c r="C98" s="5">
        <v>44031</v>
      </c>
      <c r="D98" s="4">
        <v>22</v>
      </c>
      <c r="E98" s="6" t="str" cm="1">
        <f t="array" ref="E98">_xlfn.IFS(D98&lt;=5,"Newcomer",AND(D98&gt;=6,D98&lt;=10),"Proficient",D98&gt;10,"Expert")</f>
        <v>Expert</v>
      </c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 t="str" cm="1">
        <f t="array" ref="M98">_xlfn.IFS(L98="Retirement","Voluntary",L98="Resignation","Voluntary",L98="Layoff","InVoluntary")</f>
        <v>Voluntary</v>
      </c>
      <c r="N98" s="4" t="s">
        <v>26</v>
      </c>
      <c r="O98" s="41"/>
      <c r="P98">
        <v>1</v>
      </c>
      <c r="Q98" t="s">
        <v>173</v>
      </c>
    </row>
    <row r="99" spans="1:17" x14ac:dyDescent="0.35">
      <c r="A99" s="4">
        <v>1484</v>
      </c>
      <c r="B99" s="5">
        <v>38056</v>
      </c>
      <c r="C99" s="5">
        <v>44076</v>
      </c>
      <c r="D99" s="4">
        <v>16</v>
      </c>
      <c r="E99" s="6" t="str" cm="1">
        <f t="array" ref="E99">_xlfn.IFS(D99&lt;=5,"Newcomer",AND(D99&gt;=6,D99&lt;=10),"Proficient",D99&gt;10,"Expert")</f>
        <v>Expert</v>
      </c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 t="str" cm="1">
        <f t="array" ref="M99">_xlfn.IFS(L99="Retirement","Voluntary",L99="Resignation","Voluntary",L99="Layoff","InVoluntary")</f>
        <v>Voluntary</v>
      </c>
      <c r="N99" s="4" t="s">
        <v>20</v>
      </c>
      <c r="O99" s="41"/>
      <c r="P99">
        <v>1</v>
      </c>
      <c r="Q99" t="s">
        <v>173</v>
      </c>
    </row>
    <row r="100" spans="1:17" x14ac:dyDescent="0.35">
      <c r="A100" s="4">
        <v>1485</v>
      </c>
      <c r="B100" s="5">
        <v>38302</v>
      </c>
      <c r="C100" s="5">
        <v>44105</v>
      </c>
      <c r="D100" s="4">
        <v>16</v>
      </c>
      <c r="E100" s="6" t="str" cm="1">
        <f t="array" ref="E100">_xlfn.IFS(D100&lt;=5,"Newcomer",AND(D100&gt;=6,D100&lt;=10),"Proficient",D100&gt;10,"Expert")</f>
        <v>Expert</v>
      </c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 t="str" cm="1">
        <f t="array" ref="M100">_xlfn.IFS(L100="Retirement","Voluntary",L100="Resignation","Voluntary",L100="Layoff","InVoluntary")</f>
        <v>Voluntary</v>
      </c>
      <c r="N100" s="4" t="s">
        <v>20</v>
      </c>
      <c r="O100" s="41"/>
      <c r="P100">
        <v>1</v>
      </c>
      <c r="Q100" t="s">
        <v>173</v>
      </c>
    </row>
    <row r="101" spans="1:17" x14ac:dyDescent="0.35">
      <c r="A101" s="4">
        <v>1486</v>
      </c>
      <c r="B101" s="5">
        <v>36358</v>
      </c>
      <c r="C101" s="5">
        <v>43847</v>
      </c>
      <c r="D101" s="4">
        <v>21</v>
      </c>
      <c r="E101" s="6" t="str" cm="1">
        <f t="array" ref="E101">_xlfn.IFS(D101&lt;=5,"Newcomer",AND(D101&gt;=6,D101&lt;=10),"Proficient",D101&gt;10,"Expert")</f>
        <v>Expert</v>
      </c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 t="str" cm="1">
        <f t="array" ref="M101">_xlfn.IFS(L101="Retirement","Voluntary",L101="Resignation","Voluntary",L101="Layoff","InVoluntary")</f>
        <v>Voluntary</v>
      </c>
      <c r="N101" s="4" t="s">
        <v>20</v>
      </c>
      <c r="O101" s="41"/>
      <c r="P101">
        <v>1</v>
      </c>
      <c r="Q101" t="s">
        <v>173</v>
      </c>
    </row>
    <row r="102" spans="1:17" x14ac:dyDescent="0.35">
      <c r="A102" s="4">
        <v>1487</v>
      </c>
      <c r="B102" s="5">
        <v>39614</v>
      </c>
      <c r="C102" s="5">
        <v>43922</v>
      </c>
      <c r="D102" s="4">
        <v>12</v>
      </c>
      <c r="E102" s="6" t="str" cm="1">
        <f t="array" ref="E102">_xlfn.IFS(D102&lt;=5,"Newcomer",AND(D102&gt;=6,D102&lt;=10),"Proficient",D102&gt;10,"Expert")</f>
        <v>Expert</v>
      </c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 t="str" cm="1">
        <f t="array" ref="M102">_xlfn.IFS(L102="Retirement","Voluntary",L102="Resignation","Voluntary",L102="Layoff","InVoluntary")</f>
        <v>Voluntary</v>
      </c>
      <c r="N102" s="4" t="s">
        <v>20</v>
      </c>
      <c r="O102" s="41"/>
      <c r="P102">
        <v>1</v>
      </c>
      <c r="Q102" t="s">
        <v>173</v>
      </c>
    </row>
    <row r="103" spans="1:17" x14ac:dyDescent="0.35">
      <c r="A103" s="4">
        <v>1488</v>
      </c>
      <c r="B103" s="5">
        <v>33469</v>
      </c>
      <c r="C103" s="5">
        <v>44171</v>
      </c>
      <c r="D103" s="4">
        <v>29</v>
      </c>
      <c r="E103" s="6" t="str" cm="1">
        <f t="array" ref="E103">_xlfn.IFS(D103&lt;=5,"Newcomer",AND(D103&gt;=6,D103&lt;=10),"Proficient",D103&gt;10,"Expert")</f>
        <v>Expert</v>
      </c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 t="str" cm="1">
        <f t="array" ref="M103">_xlfn.IFS(L103="Retirement","Voluntary",L103="Resignation","Voluntary",L103="Layoff","InVoluntary")</f>
        <v>Voluntary</v>
      </c>
      <c r="N103" s="4" t="s">
        <v>20</v>
      </c>
      <c r="O103" s="41"/>
      <c r="P103">
        <v>1</v>
      </c>
      <c r="Q103" t="s">
        <v>173</v>
      </c>
    </row>
    <row r="104" spans="1:17" x14ac:dyDescent="0.35">
      <c r="A104" s="4">
        <v>1489</v>
      </c>
      <c r="B104" s="5">
        <v>36332</v>
      </c>
      <c r="C104" s="5">
        <v>44043</v>
      </c>
      <c r="D104" s="4">
        <v>21</v>
      </c>
      <c r="E104" s="6" t="str" cm="1">
        <f t="array" ref="E104">_xlfn.IFS(D104&lt;=5,"Newcomer",AND(D104&gt;=6,D104&lt;=10),"Proficient",D104&gt;10,"Expert")</f>
        <v>Expert</v>
      </c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 t="str" cm="1">
        <f t="array" ref="M104">_xlfn.IFS(L104="Retirement","Voluntary",L104="Resignation","Voluntary",L104="Layoff","InVoluntary")</f>
        <v>Voluntary</v>
      </c>
      <c r="N104" s="4" t="s">
        <v>26</v>
      </c>
      <c r="O104" s="41"/>
      <c r="P104">
        <v>1</v>
      </c>
      <c r="Q104" t="s">
        <v>173</v>
      </c>
    </row>
    <row r="105" spans="1:17" x14ac:dyDescent="0.35">
      <c r="A105" s="4">
        <v>1490</v>
      </c>
      <c r="B105" s="5">
        <v>36526</v>
      </c>
      <c r="C105" s="5">
        <v>43866</v>
      </c>
      <c r="D105" s="4">
        <v>20</v>
      </c>
      <c r="E105" s="6" t="str" cm="1">
        <f t="array" ref="E105">_xlfn.IFS(D105&lt;=5,"Newcomer",AND(D105&gt;=6,D105&lt;=10),"Proficient",D105&gt;10,"Expert")</f>
        <v>Expert</v>
      </c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 t="str" cm="1">
        <f t="array" ref="M105">_xlfn.IFS(L105="Retirement","Voluntary",L105="Resignation","Voluntary",L105="Layoff","InVoluntary")</f>
        <v>Voluntary</v>
      </c>
      <c r="N105" s="4" t="s">
        <v>26</v>
      </c>
      <c r="O105" s="41"/>
      <c r="P105">
        <v>1</v>
      </c>
      <c r="Q105" t="s">
        <v>173</v>
      </c>
    </row>
    <row r="106" spans="1:17" x14ac:dyDescent="0.35">
      <c r="A106" s="4">
        <v>1491</v>
      </c>
      <c r="B106" s="5">
        <v>33740</v>
      </c>
      <c r="C106" s="5">
        <v>44080</v>
      </c>
      <c r="D106" s="4">
        <v>28</v>
      </c>
      <c r="E106" s="6" t="str" cm="1">
        <f t="array" ref="E106">_xlfn.IFS(D106&lt;=5,"Newcomer",AND(D106&gt;=6,D106&lt;=10),"Proficient",D106&gt;10,"Expert")</f>
        <v>Expert</v>
      </c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 t="str" cm="1">
        <f t="array" ref="M106">_xlfn.IFS(L106="Retirement","Voluntary",L106="Resignation","Voluntary",L106="Layoff","InVoluntary")</f>
        <v>Voluntary</v>
      </c>
      <c r="N106" s="4" t="s">
        <v>26</v>
      </c>
      <c r="O106" s="41"/>
      <c r="P106">
        <v>1</v>
      </c>
      <c r="Q106" t="s">
        <v>173</v>
      </c>
    </row>
    <row r="107" spans="1:17" x14ac:dyDescent="0.35">
      <c r="A107" s="4">
        <v>1492</v>
      </c>
      <c r="B107" s="5">
        <v>39741</v>
      </c>
      <c r="C107" s="5">
        <v>44020</v>
      </c>
      <c r="D107" s="4">
        <v>12</v>
      </c>
      <c r="E107" s="6" t="str" cm="1">
        <f t="array" ref="E107">_xlfn.IFS(D107&lt;=5,"Newcomer",AND(D107&gt;=6,D107&lt;=10),"Proficient",D107&gt;10,"Expert")</f>
        <v>Expert</v>
      </c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 t="str" cm="1">
        <f t="array" ref="M107">_xlfn.IFS(L107="Retirement","Voluntary",L107="Resignation","Voluntary",L107="Layoff","InVoluntary")</f>
        <v>Voluntary</v>
      </c>
      <c r="N107" s="4" t="s">
        <v>26</v>
      </c>
      <c r="O107" s="41"/>
      <c r="P107">
        <v>1</v>
      </c>
      <c r="Q107" t="s">
        <v>173</v>
      </c>
    </row>
    <row r="108" spans="1:17" x14ac:dyDescent="0.35">
      <c r="A108" s="4">
        <v>1494</v>
      </c>
      <c r="B108" s="5">
        <v>38761</v>
      </c>
      <c r="C108" s="5">
        <v>44014</v>
      </c>
      <c r="D108" s="4">
        <v>14</v>
      </c>
      <c r="E108" s="6" t="str" cm="1">
        <f t="array" ref="E108">_xlfn.IFS(D108&lt;=5,"Newcomer",AND(D108&gt;=6,D108&lt;=10),"Proficient",D108&gt;10,"Expert")</f>
        <v>Expert</v>
      </c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 t="str" cm="1">
        <f t="array" ref="M108">_xlfn.IFS(L108="Retirement","Voluntary",L108="Resignation","Voluntary",L108="Layoff","InVoluntary")</f>
        <v>Voluntary</v>
      </c>
      <c r="N108" s="4" t="s">
        <v>26</v>
      </c>
      <c r="O108" s="41"/>
      <c r="P108">
        <v>1</v>
      </c>
      <c r="Q108" t="s">
        <v>173</v>
      </c>
    </row>
    <row r="109" spans="1:17" x14ac:dyDescent="0.35">
      <c r="A109" s="4">
        <v>1495</v>
      </c>
      <c r="B109" s="5">
        <v>39522</v>
      </c>
      <c r="C109" s="5">
        <v>44161</v>
      </c>
      <c r="D109" s="4">
        <v>12</v>
      </c>
      <c r="E109" s="6" t="str" cm="1">
        <f t="array" ref="E109">_xlfn.IFS(D109&lt;=5,"Newcomer",AND(D109&gt;=6,D109&lt;=10),"Proficient",D109&gt;10,"Expert")</f>
        <v>Expert</v>
      </c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 t="str" cm="1">
        <f t="array" ref="M109">_xlfn.IFS(L109="Retirement","Voluntary",L109="Resignation","Voluntary",L109="Layoff","InVoluntary")</f>
        <v>Voluntary</v>
      </c>
      <c r="N109" s="4" t="s">
        <v>26</v>
      </c>
      <c r="O109" s="41"/>
      <c r="P109">
        <v>1</v>
      </c>
      <c r="Q109" t="s">
        <v>173</v>
      </c>
    </row>
    <row r="110" spans="1:17" x14ac:dyDescent="0.35">
      <c r="A110" s="4">
        <v>1497</v>
      </c>
      <c r="B110" s="5">
        <v>36034</v>
      </c>
      <c r="C110" s="5">
        <v>43831</v>
      </c>
      <c r="D110" s="4">
        <v>22</v>
      </c>
      <c r="E110" s="6" t="str" cm="1">
        <f t="array" ref="E110">_xlfn.IFS(D110&lt;=5,"Newcomer",AND(D110&gt;=6,D110&lt;=10),"Proficient",D110&gt;10,"Expert")</f>
        <v>Expert</v>
      </c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 t="str" cm="1">
        <f t="array" ref="M110">_xlfn.IFS(L110="Retirement","Voluntary",L110="Resignation","Voluntary",L110="Layoff","InVoluntary")</f>
        <v>Voluntary</v>
      </c>
      <c r="N110" s="4" t="s">
        <v>20</v>
      </c>
      <c r="O110" s="41"/>
      <c r="P110">
        <v>1</v>
      </c>
      <c r="Q110" t="s">
        <v>173</v>
      </c>
    </row>
    <row r="111" spans="1:17" x14ac:dyDescent="0.35">
      <c r="A111" s="4">
        <v>1498</v>
      </c>
      <c r="B111" s="5">
        <v>36898</v>
      </c>
      <c r="C111" s="5">
        <v>44038</v>
      </c>
      <c r="D111" s="4">
        <v>19</v>
      </c>
      <c r="E111" s="6" t="str" cm="1">
        <f t="array" ref="E111">_xlfn.IFS(D111&lt;=5,"Newcomer",AND(D111&gt;=6,D111&lt;=10),"Proficient",D111&gt;10,"Expert")</f>
        <v>Expert</v>
      </c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 t="str" cm="1">
        <f t="array" ref="M111">_xlfn.IFS(L111="Retirement","Voluntary",L111="Resignation","Voluntary",L111="Layoff","InVoluntary")</f>
        <v>Voluntary</v>
      </c>
      <c r="N111" s="4" t="s">
        <v>20</v>
      </c>
      <c r="O111" s="41"/>
      <c r="P111">
        <v>1</v>
      </c>
      <c r="Q111" t="s">
        <v>173</v>
      </c>
    </row>
    <row r="112" spans="1:17" x14ac:dyDescent="0.35">
      <c r="A112" s="4">
        <v>1499</v>
      </c>
      <c r="B112" s="5">
        <v>34902</v>
      </c>
      <c r="C112" s="5">
        <v>43884</v>
      </c>
      <c r="D112" s="4">
        <v>25</v>
      </c>
      <c r="E112" s="6" t="str" cm="1">
        <f t="array" ref="E112">_xlfn.IFS(D112&lt;=5,"Newcomer",AND(D112&gt;=6,D112&lt;=10),"Proficient",D112&gt;10,"Expert")</f>
        <v>Expert</v>
      </c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 t="str" cm="1">
        <f t="array" ref="M112">_xlfn.IFS(L112="Retirement","Voluntary",L112="Resignation","Voluntary",L112="Layoff","InVoluntary")</f>
        <v>Voluntary</v>
      </c>
      <c r="N112" s="4" t="s">
        <v>26</v>
      </c>
      <c r="O112" s="41"/>
      <c r="P112">
        <v>1</v>
      </c>
      <c r="Q112" t="s">
        <v>173</v>
      </c>
    </row>
    <row r="113" spans="1:17" x14ac:dyDescent="0.35">
      <c r="A113" s="4">
        <v>1500</v>
      </c>
      <c r="B113" s="5">
        <v>38096</v>
      </c>
      <c r="C113" s="5">
        <v>43965</v>
      </c>
      <c r="D113" s="4">
        <v>16</v>
      </c>
      <c r="E113" s="6" t="str" cm="1">
        <f t="array" ref="E113">_xlfn.IFS(D113&lt;=5,"Newcomer",AND(D113&gt;=6,D113&lt;=10),"Proficient",D113&gt;10,"Expert")</f>
        <v>Expert</v>
      </c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 t="str" cm="1">
        <f t="array" ref="M113">_xlfn.IFS(L113="Retirement","Voluntary",L113="Resignation","Voluntary",L113="Layoff","InVoluntary")</f>
        <v>Voluntary</v>
      </c>
      <c r="N113" s="4" t="s">
        <v>20</v>
      </c>
      <c r="O113" s="41"/>
      <c r="P113">
        <v>1</v>
      </c>
      <c r="Q113" t="s">
        <v>173</v>
      </c>
    </row>
    <row r="114" spans="1:17" x14ac:dyDescent="0.35">
      <c r="A114" s="4">
        <v>1502</v>
      </c>
      <c r="B114" s="5">
        <v>35616</v>
      </c>
      <c r="C114" s="5">
        <v>43961</v>
      </c>
      <c r="D114" s="4">
        <v>23</v>
      </c>
      <c r="E114" s="6" t="str" cm="1">
        <f t="array" ref="E114">_xlfn.IFS(D114&lt;=5,"Newcomer",AND(D114&gt;=6,D114&lt;=10),"Proficient",D114&gt;10,"Expert")</f>
        <v>Expert</v>
      </c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 t="str" cm="1">
        <f t="array" ref="M114">_xlfn.IFS(L114="Retirement","Voluntary",L114="Resignation","Voluntary",L114="Layoff","InVoluntary")</f>
        <v>Voluntary</v>
      </c>
      <c r="N114" s="4" t="s">
        <v>26</v>
      </c>
      <c r="O114" s="41"/>
      <c r="P114">
        <v>1</v>
      </c>
      <c r="Q114" t="s">
        <v>173</v>
      </c>
    </row>
    <row r="115" spans="1:17" x14ac:dyDescent="0.35">
      <c r="A115" s="4">
        <v>1512</v>
      </c>
      <c r="B115" s="5">
        <v>35271</v>
      </c>
      <c r="C115" s="5">
        <v>43857</v>
      </c>
      <c r="D115" s="4">
        <v>24</v>
      </c>
      <c r="E115" s="6" t="str" cm="1">
        <f t="array" ref="E115">_xlfn.IFS(D115&lt;=5,"Newcomer",AND(D115&gt;=6,D115&lt;=10),"Proficient",D115&gt;10,"Expert")</f>
        <v>Expert</v>
      </c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 t="str" cm="1">
        <f t="array" ref="M115">_xlfn.IFS(L115="Retirement","Voluntary",L115="Resignation","Voluntary",L115="Layoff","InVoluntary")</f>
        <v>Voluntary</v>
      </c>
      <c r="N115" s="4" t="s">
        <v>26</v>
      </c>
      <c r="O115" s="41"/>
      <c r="P115">
        <v>1</v>
      </c>
      <c r="Q115" t="s">
        <v>173</v>
      </c>
    </row>
    <row r="116" spans="1:17" x14ac:dyDescent="0.35">
      <c r="A116" s="4">
        <v>1513</v>
      </c>
      <c r="B116" s="5">
        <v>39185</v>
      </c>
      <c r="C116" s="5">
        <v>44048</v>
      </c>
      <c r="D116" s="4">
        <v>13</v>
      </c>
      <c r="E116" s="6" t="str" cm="1">
        <f t="array" ref="E116">_xlfn.IFS(D116&lt;=5,"Newcomer",AND(D116&gt;=6,D116&lt;=10),"Proficient",D116&gt;10,"Expert")</f>
        <v>Expert</v>
      </c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 t="str" cm="1">
        <f t="array" ref="M116">_xlfn.IFS(L116="Retirement","Voluntary",L116="Resignation","Voluntary",L116="Layoff","InVoluntary")</f>
        <v>Voluntary</v>
      </c>
      <c r="N116" s="4" t="s">
        <v>26</v>
      </c>
      <c r="O116" s="41"/>
      <c r="P116">
        <v>1</v>
      </c>
      <c r="Q116" t="s">
        <v>173</v>
      </c>
    </row>
    <row r="117" spans="1:17" x14ac:dyDescent="0.35">
      <c r="A117" s="4">
        <v>1516</v>
      </c>
      <c r="B117" s="5">
        <v>40413</v>
      </c>
      <c r="C117" s="5">
        <v>43925</v>
      </c>
      <c r="D117" s="4">
        <v>10</v>
      </c>
      <c r="E117" s="6" t="str" cm="1">
        <f t="array" ref="E117">_xlfn.IFS(D117&lt;=5,"Newcomer",AND(D117&gt;=6,D117&lt;=10),"Proficient",D117&gt;10,"Expert")</f>
        <v>Proficient</v>
      </c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 t="str" cm="1">
        <f t="array" ref="M117">_xlfn.IFS(L117="Retirement","Voluntary",L117="Resignation","Voluntary",L117="Layoff","InVoluntary")</f>
        <v>Voluntary</v>
      </c>
      <c r="N117" s="4" t="s">
        <v>20</v>
      </c>
      <c r="O117" s="41"/>
      <c r="P117">
        <v>1</v>
      </c>
      <c r="Q117" t="s">
        <v>173</v>
      </c>
    </row>
    <row r="118" spans="1:17" x14ac:dyDescent="0.35">
      <c r="A118" s="4">
        <v>1517</v>
      </c>
      <c r="B118" s="5">
        <v>38942</v>
      </c>
      <c r="C118" s="5">
        <v>43938</v>
      </c>
      <c r="D118" s="4">
        <v>14</v>
      </c>
      <c r="E118" s="6" t="str" cm="1">
        <f t="array" ref="E118">_xlfn.IFS(D118&lt;=5,"Newcomer",AND(D118&gt;=6,D118&lt;=10),"Proficient",D118&gt;10,"Expert")</f>
        <v>Expert</v>
      </c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 t="str" cm="1">
        <f t="array" ref="M118">_xlfn.IFS(L118="Retirement","Voluntary",L118="Resignation","Voluntary",L118="Layoff","InVoluntary")</f>
        <v>Voluntary</v>
      </c>
      <c r="N118" s="4" t="s">
        <v>20</v>
      </c>
      <c r="O118" s="41"/>
      <c r="P118">
        <v>1</v>
      </c>
      <c r="Q118" t="s">
        <v>173</v>
      </c>
    </row>
    <row r="119" spans="1:17" x14ac:dyDescent="0.35">
      <c r="A119" s="4">
        <v>1522</v>
      </c>
      <c r="B119" s="5">
        <v>36014</v>
      </c>
      <c r="C119" s="5">
        <v>43863</v>
      </c>
      <c r="D119" s="4">
        <v>22</v>
      </c>
      <c r="E119" s="6" t="str" cm="1">
        <f t="array" ref="E119">_xlfn.IFS(D119&lt;=5,"Newcomer",AND(D119&gt;=6,D119&lt;=10),"Proficient",D119&gt;10,"Expert")</f>
        <v>Expert</v>
      </c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 t="str" cm="1">
        <f t="array" ref="M119">_xlfn.IFS(L119="Retirement","Voluntary",L119="Resignation","Voluntary",L119="Layoff","InVoluntary")</f>
        <v>Voluntary</v>
      </c>
      <c r="N119" s="4" t="s">
        <v>26</v>
      </c>
      <c r="O119" s="41"/>
      <c r="P119">
        <v>1</v>
      </c>
      <c r="Q119" t="s">
        <v>173</v>
      </c>
    </row>
    <row r="120" spans="1:17" x14ac:dyDescent="0.35">
      <c r="A120" s="4">
        <v>1523</v>
      </c>
      <c r="B120" s="5">
        <v>34564</v>
      </c>
      <c r="C120" s="5">
        <v>43978</v>
      </c>
      <c r="D120" s="4">
        <v>26</v>
      </c>
      <c r="E120" s="6" t="str" cm="1">
        <f t="array" ref="E120">_xlfn.IFS(D120&lt;=5,"Newcomer",AND(D120&gt;=6,D120&lt;=10),"Proficient",D120&gt;10,"Expert")</f>
        <v>Expert</v>
      </c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 t="str" cm="1">
        <f t="array" ref="M120">_xlfn.IFS(L120="Retirement","Voluntary",L120="Resignation","Voluntary",L120="Layoff","InVoluntary")</f>
        <v>Voluntary</v>
      </c>
      <c r="N120" s="4" t="s">
        <v>20</v>
      </c>
      <c r="O120" s="41"/>
      <c r="P120">
        <v>1</v>
      </c>
      <c r="Q120" t="s">
        <v>173</v>
      </c>
    </row>
    <row r="121" spans="1:17" x14ac:dyDescent="0.35">
      <c r="A121" s="4">
        <v>1524</v>
      </c>
      <c r="B121" s="5">
        <v>36198</v>
      </c>
      <c r="C121" s="5">
        <v>43920</v>
      </c>
      <c r="D121" s="4">
        <v>21</v>
      </c>
      <c r="E121" s="6" t="str" cm="1">
        <f t="array" ref="E121">_xlfn.IFS(D121&lt;=5,"Newcomer",AND(D121&gt;=6,D121&lt;=10),"Proficient",D121&gt;10,"Expert")</f>
        <v>Expert</v>
      </c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 t="str" cm="1">
        <f t="array" ref="M121">_xlfn.IFS(L121="Retirement","Voluntary",L121="Resignation","Voluntary",L121="Layoff","InVoluntary")</f>
        <v>Voluntary</v>
      </c>
      <c r="N121" s="4" t="s">
        <v>20</v>
      </c>
      <c r="O121" s="41"/>
      <c r="P121">
        <v>1</v>
      </c>
      <c r="Q121" t="s">
        <v>173</v>
      </c>
    </row>
    <row r="122" spans="1:17" x14ac:dyDescent="0.35">
      <c r="A122" s="4">
        <v>1527</v>
      </c>
      <c r="B122" s="5">
        <v>39773</v>
      </c>
      <c r="C122" s="5">
        <v>43841</v>
      </c>
      <c r="D122" s="4">
        <v>12</v>
      </c>
      <c r="E122" s="6" t="str" cm="1">
        <f t="array" ref="E122">_xlfn.IFS(D122&lt;=5,"Newcomer",AND(D122&gt;=6,D122&lt;=10),"Proficient",D122&gt;10,"Expert")</f>
        <v>Expert</v>
      </c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 t="str" cm="1">
        <f t="array" ref="M122">_xlfn.IFS(L122="Retirement","Voluntary",L122="Resignation","Voluntary",L122="Layoff","InVoluntary")</f>
        <v>Voluntary</v>
      </c>
      <c r="N122" s="4" t="s">
        <v>26</v>
      </c>
      <c r="O122" s="41"/>
      <c r="P122">
        <v>1</v>
      </c>
      <c r="Q122" t="s">
        <v>173</v>
      </c>
    </row>
    <row r="123" spans="1:17" x14ac:dyDescent="0.35">
      <c r="A123" s="4">
        <v>1528</v>
      </c>
      <c r="B123" s="5">
        <v>32988</v>
      </c>
      <c r="C123" s="5">
        <v>44090</v>
      </c>
      <c r="D123" s="4">
        <v>30</v>
      </c>
      <c r="E123" s="6" t="str" cm="1">
        <f t="array" ref="E123">_xlfn.IFS(D123&lt;=5,"Newcomer",AND(D123&gt;=6,D123&lt;=10),"Proficient",D123&gt;10,"Expert")</f>
        <v>Expert</v>
      </c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 t="str" cm="1">
        <f t="array" ref="M123">_xlfn.IFS(L123="Retirement","Voluntary",L123="Resignation","Voluntary",L123="Layoff","InVoluntary")</f>
        <v>Voluntary</v>
      </c>
      <c r="N123" s="4" t="s">
        <v>26</v>
      </c>
      <c r="O123" s="41"/>
      <c r="P123">
        <v>1</v>
      </c>
      <c r="Q123" t="s">
        <v>173</v>
      </c>
    </row>
    <row r="124" spans="1:17" x14ac:dyDescent="0.35">
      <c r="A124" s="4">
        <v>1529</v>
      </c>
      <c r="B124" s="5">
        <v>37352</v>
      </c>
      <c r="C124" s="5">
        <v>43898</v>
      </c>
      <c r="D124" s="4">
        <v>18</v>
      </c>
      <c r="E124" s="6" t="str" cm="1">
        <f t="array" ref="E124">_xlfn.IFS(D124&lt;=5,"Newcomer",AND(D124&gt;=6,D124&lt;=10),"Proficient",D124&gt;10,"Expert")</f>
        <v>Expert</v>
      </c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 t="str" cm="1">
        <f t="array" ref="M124">_xlfn.IFS(L124="Retirement","Voluntary",L124="Resignation","Voluntary",L124="Layoff","InVoluntary")</f>
        <v>Voluntary</v>
      </c>
      <c r="N124" s="4" t="s">
        <v>20</v>
      </c>
      <c r="O124" s="41"/>
      <c r="P124">
        <v>1</v>
      </c>
      <c r="Q124" t="s">
        <v>173</v>
      </c>
    </row>
    <row r="125" spans="1:17" x14ac:dyDescent="0.35">
      <c r="A125" s="4">
        <v>1530</v>
      </c>
      <c r="B125" s="5">
        <v>35876</v>
      </c>
      <c r="C125" s="5">
        <v>44186</v>
      </c>
      <c r="D125" s="4">
        <v>22</v>
      </c>
      <c r="E125" s="6" t="str" cm="1">
        <f t="array" ref="E125">_xlfn.IFS(D125&lt;=5,"Newcomer",AND(D125&gt;=6,D125&lt;=10),"Proficient",D125&gt;10,"Expert")</f>
        <v>Expert</v>
      </c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 t="str" cm="1">
        <f t="array" ref="M125">_xlfn.IFS(L125="Retirement","Voluntary",L125="Resignation","Voluntary",L125="Layoff","InVoluntary")</f>
        <v>Voluntary</v>
      </c>
      <c r="N125" s="4" t="s">
        <v>26</v>
      </c>
      <c r="O125" s="41"/>
      <c r="P125">
        <v>1</v>
      </c>
      <c r="Q125" t="s">
        <v>173</v>
      </c>
    </row>
    <row r="126" spans="1:17" x14ac:dyDescent="0.35">
      <c r="A126" s="4">
        <v>1532</v>
      </c>
      <c r="B126" s="5">
        <v>33526</v>
      </c>
      <c r="C126" s="5">
        <v>43884</v>
      </c>
      <c r="D126" s="4">
        <v>29</v>
      </c>
      <c r="E126" s="6" t="str" cm="1">
        <f t="array" ref="E126">_xlfn.IFS(D126&lt;=5,"Newcomer",AND(D126&gt;=6,D126&lt;=10),"Proficient",D126&gt;10,"Expert")</f>
        <v>Expert</v>
      </c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 t="str" cm="1">
        <f t="array" ref="M126">_xlfn.IFS(L126="Retirement","Voluntary",L126="Resignation","Voluntary",L126="Layoff","InVoluntary")</f>
        <v>Voluntary</v>
      </c>
      <c r="N126" s="4" t="s">
        <v>26</v>
      </c>
      <c r="O126" s="41"/>
      <c r="P126">
        <v>1</v>
      </c>
      <c r="Q126" t="s">
        <v>173</v>
      </c>
    </row>
    <row r="127" spans="1:17" x14ac:dyDescent="0.35">
      <c r="A127" s="4">
        <v>1533</v>
      </c>
      <c r="B127" s="5">
        <v>34490</v>
      </c>
      <c r="C127" s="5">
        <v>43910</v>
      </c>
      <c r="D127" s="4">
        <v>26</v>
      </c>
      <c r="E127" s="6" t="str" cm="1">
        <f t="array" ref="E127">_xlfn.IFS(D127&lt;=5,"Newcomer",AND(D127&gt;=6,D127&lt;=10),"Proficient",D127&gt;10,"Expert")</f>
        <v>Expert</v>
      </c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 t="str" cm="1">
        <f t="array" ref="M127">_xlfn.IFS(L127="Retirement","Voluntary",L127="Resignation","Voluntary",L127="Layoff","InVoluntary")</f>
        <v>Voluntary</v>
      </c>
      <c r="N127" s="4" t="s">
        <v>20</v>
      </c>
      <c r="O127" s="41"/>
      <c r="P127">
        <v>1</v>
      </c>
      <c r="Q127" t="s">
        <v>173</v>
      </c>
    </row>
    <row r="128" spans="1:17" x14ac:dyDescent="0.35">
      <c r="A128" s="4">
        <v>1534</v>
      </c>
      <c r="B128" s="5">
        <v>36716</v>
      </c>
      <c r="C128" s="5">
        <v>43991</v>
      </c>
      <c r="D128" s="4">
        <v>20</v>
      </c>
      <c r="E128" s="6" t="str" cm="1">
        <f t="array" ref="E128">_xlfn.IFS(D128&lt;=5,"Newcomer",AND(D128&gt;=6,D128&lt;=10),"Proficient",D128&gt;10,"Expert")</f>
        <v>Expert</v>
      </c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 t="str" cm="1">
        <f t="array" ref="M128">_xlfn.IFS(L128="Retirement","Voluntary",L128="Resignation","Voluntary",L128="Layoff","InVoluntary")</f>
        <v>Voluntary</v>
      </c>
      <c r="N128" s="4" t="s">
        <v>26</v>
      </c>
      <c r="O128" s="41"/>
      <c r="P128">
        <v>1</v>
      </c>
      <c r="Q128" t="s">
        <v>173</v>
      </c>
    </row>
    <row r="129" spans="1:17" x14ac:dyDescent="0.35">
      <c r="A129" s="4">
        <v>1535</v>
      </c>
      <c r="B129" s="5">
        <v>38015</v>
      </c>
      <c r="C129" s="5">
        <v>43837</v>
      </c>
      <c r="D129" s="4">
        <v>16</v>
      </c>
      <c r="E129" s="6" t="str" cm="1">
        <f t="array" ref="E129">_xlfn.IFS(D129&lt;=5,"Newcomer",AND(D129&gt;=6,D129&lt;=10),"Proficient",D129&gt;10,"Expert")</f>
        <v>Expert</v>
      </c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 t="str" cm="1">
        <f t="array" ref="M129">_xlfn.IFS(L129="Retirement","Voluntary",L129="Resignation","Voluntary",L129="Layoff","InVoluntary")</f>
        <v>Voluntary</v>
      </c>
      <c r="N129" s="4" t="s">
        <v>20</v>
      </c>
      <c r="O129" s="41"/>
      <c r="P129">
        <v>1</v>
      </c>
      <c r="Q129" t="s">
        <v>173</v>
      </c>
    </row>
    <row r="130" spans="1:17" x14ac:dyDescent="0.35">
      <c r="A130" s="4">
        <v>1536</v>
      </c>
      <c r="B130" s="5">
        <v>36682</v>
      </c>
      <c r="C130" s="5">
        <v>43942</v>
      </c>
      <c r="D130" s="4">
        <v>20</v>
      </c>
      <c r="E130" s="6" t="str" cm="1">
        <f t="array" ref="E130">_xlfn.IFS(D130&lt;=5,"Newcomer",AND(D130&gt;=6,D130&lt;=10),"Proficient",D130&gt;10,"Expert")</f>
        <v>Expert</v>
      </c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 t="str" cm="1">
        <f t="array" ref="M130">_xlfn.IFS(L130="Retirement","Voluntary",L130="Resignation","Voluntary",L130="Layoff","InVoluntary")</f>
        <v>Voluntary</v>
      </c>
      <c r="N130" s="4" t="s">
        <v>26</v>
      </c>
      <c r="O130" s="41"/>
      <c r="P130">
        <v>1</v>
      </c>
      <c r="Q130" t="s">
        <v>173</v>
      </c>
    </row>
    <row r="131" spans="1:17" x14ac:dyDescent="0.35">
      <c r="A131" s="4">
        <v>1538</v>
      </c>
      <c r="B131" s="5">
        <v>32997</v>
      </c>
      <c r="C131" s="5">
        <v>43916</v>
      </c>
      <c r="D131" s="4">
        <v>30</v>
      </c>
      <c r="E131" s="6" t="str" cm="1">
        <f t="array" ref="E131">_xlfn.IFS(D131&lt;=5,"Newcomer",AND(D131&gt;=6,D131&lt;=10),"Proficient",D131&gt;10,"Expert")</f>
        <v>Expert</v>
      </c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 t="str" cm="1">
        <f t="array" ref="M131">_xlfn.IFS(L131="Retirement","Voluntary",L131="Resignation","Voluntary",L131="Layoff","InVoluntary")</f>
        <v>Voluntary</v>
      </c>
      <c r="N131" s="4" t="s">
        <v>20</v>
      </c>
      <c r="O131" s="41"/>
      <c r="P131">
        <v>1</v>
      </c>
      <c r="Q131" t="s">
        <v>173</v>
      </c>
    </row>
    <row r="132" spans="1:17" x14ac:dyDescent="0.35">
      <c r="A132" s="4">
        <v>1541</v>
      </c>
      <c r="B132" s="5">
        <v>42069</v>
      </c>
      <c r="C132" s="5">
        <v>44144</v>
      </c>
      <c r="D132" s="4">
        <v>5</v>
      </c>
      <c r="E132" s="6" t="str" cm="1">
        <f t="array" ref="E132">_xlfn.IFS(D132&lt;=5,"Newcomer",AND(D132&gt;=6,D132&lt;=10),"Proficient",D132&gt;10,"Expert")</f>
        <v>Newcomer</v>
      </c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 t="str" cm="1">
        <f t="array" ref="M132">_xlfn.IFS(L132="Retirement","Voluntary",L132="Resignation","Voluntary",L132="Layoff","InVoluntary")</f>
        <v>Voluntary</v>
      </c>
      <c r="N132" s="4" t="s">
        <v>26</v>
      </c>
      <c r="O132" s="41"/>
      <c r="P132">
        <v>1</v>
      </c>
      <c r="Q132" t="s">
        <v>173</v>
      </c>
    </row>
    <row r="133" spans="1:17" x14ac:dyDescent="0.35">
      <c r="A133" s="4">
        <v>1542</v>
      </c>
      <c r="B133" s="5">
        <v>38634</v>
      </c>
      <c r="C133" s="5">
        <v>43947</v>
      </c>
      <c r="D133" s="4">
        <v>15</v>
      </c>
      <c r="E133" s="6" t="str" cm="1">
        <f t="array" ref="E133">_xlfn.IFS(D133&lt;=5,"Newcomer",AND(D133&gt;=6,D133&lt;=10),"Proficient",D133&gt;10,"Expert")</f>
        <v>Expert</v>
      </c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 t="str" cm="1">
        <f t="array" ref="M133">_xlfn.IFS(L133="Retirement","Voluntary",L133="Resignation","Voluntary",L133="Layoff","InVoluntary")</f>
        <v>Voluntary</v>
      </c>
      <c r="N133" s="4" t="s">
        <v>26</v>
      </c>
      <c r="O133" s="41"/>
      <c r="P133">
        <v>1</v>
      </c>
      <c r="Q133" t="s">
        <v>173</v>
      </c>
    </row>
    <row r="134" spans="1:17" x14ac:dyDescent="0.35">
      <c r="A134" s="4">
        <v>1543</v>
      </c>
      <c r="B134" s="5">
        <v>42103</v>
      </c>
      <c r="C134" s="5">
        <v>44013</v>
      </c>
      <c r="D134" s="4">
        <v>5</v>
      </c>
      <c r="E134" s="6" t="str" cm="1">
        <f t="array" ref="E134">_xlfn.IFS(D134&lt;=5,"Newcomer",AND(D134&gt;=6,D134&lt;=10),"Proficient",D134&gt;10,"Expert")</f>
        <v>Newcomer</v>
      </c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 t="str" cm="1">
        <f t="array" ref="M134">_xlfn.IFS(L134="Retirement","Voluntary",L134="Resignation","Voluntary",L134="Layoff","InVoluntary")</f>
        <v>Voluntary</v>
      </c>
      <c r="N134" s="4" t="s">
        <v>20</v>
      </c>
      <c r="O134" s="41"/>
      <c r="P134">
        <v>1</v>
      </c>
      <c r="Q134" t="s">
        <v>173</v>
      </c>
    </row>
    <row r="135" spans="1:17" x14ac:dyDescent="0.35">
      <c r="A135" s="4">
        <v>1544</v>
      </c>
      <c r="B135" s="5">
        <v>37028</v>
      </c>
      <c r="C135" s="5">
        <v>44136</v>
      </c>
      <c r="D135" s="4">
        <v>19</v>
      </c>
      <c r="E135" s="6" t="str" cm="1">
        <f t="array" ref="E135">_xlfn.IFS(D135&lt;=5,"Newcomer",AND(D135&gt;=6,D135&lt;=10),"Proficient",D135&gt;10,"Expert")</f>
        <v>Expert</v>
      </c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 t="str" cm="1">
        <f t="array" ref="M135">_xlfn.IFS(L135="Retirement","Voluntary",L135="Resignation","Voluntary",L135="Layoff","InVoluntary")</f>
        <v>Voluntary</v>
      </c>
      <c r="N135" s="4" t="s">
        <v>26</v>
      </c>
      <c r="O135" s="41"/>
      <c r="P135">
        <v>1</v>
      </c>
      <c r="Q135" t="s">
        <v>173</v>
      </c>
    </row>
    <row r="136" spans="1:17" x14ac:dyDescent="0.35">
      <c r="A136" s="4">
        <v>1545</v>
      </c>
      <c r="B136" s="5">
        <v>41264</v>
      </c>
      <c r="C136" s="5">
        <v>44011</v>
      </c>
      <c r="D136" s="4">
        <v>8</v>
      </c>
      <c r="E136" s="6" t="str" cm="1">
        <f t="array" ref="E136">_xlfn.IFS(D136&lt;=5,"Newcomer",AND(D136&gt;=6,D136&lt;=10),"Proficient",D136&gt;10,"Expert")</f>
        <v>Proficient</v>
      </c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 t="str" cm="1">
        <f t="array" ref="M136">_xlfn.IFS(L136="Retirement","Voluntary",L136="Resignation","Voluntary",L136="Layoff","InVoluntary")</f>
        <v>InVoluntary</v>
      </c>
      <c r="N136" s="4" t="s">
        <v>26</v>
      </c>
      <c r="O136" s="41"/>
      <c r="P136">
        <v>1</v>
      </c>
      <c r="Q136" t="s">
        <v>174</v>
      </c>
    </row>
    <row r="137" spans="1:17" x14ac:dyDescent="0.35">
      <c r="A137" s="4">
        <v>1546</v>
      </c>
      <c r="B137" s="5">
        <v>41694</v>
      </c>
      <c r="C137" s="5">
        <v>44036</v>
      </c>
      <c r="D137" s="4">
        <v>6</v>
      </c>
      <c r="E137" s="6" t="str" cm="1">
        <f t="array" ref="E137">_xlfn.IFS(D137&lt;=5,"Newcomer",AND(D137&gt;=6,D137&lt;=10),"Proficient",D137&gt;10,"Expert")</f>
        <v>Proficient</v>
      </c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 t="str" cm="1">
        <f t="array" ref="M137">_xlfn.IFS(L137="Retirement","Voluntary",L137="Resignation","Voluntary",L137="Layoff","InVoluntary")</f>
        <v>Voluntary</v>
      </c>
      <c r="N137" s="4" t="s">
        <v>26</v>
      </c>
      <c r="O137" s="41"/>
      <c r="P137">
        <v>1</v>
      </c>
      <c r="Q137" t="s">
        <v>173</v>
      </c>
    </row>
    <row r="138" spans="1:17" x14ac:dyDescent="0.35">
      <c r="A138" s="4">
        <v>1547</v>
      </c>
      <c r="B138" s="5">
        <v>34362</v>
      </c>
      <c r="C138" s="5">
        <v>43831</v>
      </c>
      <c r="D138" s="4">
        <v>26</v>
      </c>
      <c r="E138" s="6" t="str" cm="1">
        <f t="array" ref="E138">_xlfn.IFS(D138&lt;=5,"Newcomer",AND(D138&gt;=6,D138&lt;=10),"Proficient",D138&gt;10,"Expert")</f>
        <v>Expert</v>
      </c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 t="str" cm="1">
        <f t="array" ref="M138">_xlfn.IFS(L138="Retirement","Voluntary",L138="Resignation","Voluntary",L138="Layoff","InVoluntary")</f>
        <v>Voluntary</v>
      </c>
      <c r="N138" s="4" t="s">
        <v>26</v>
      </c>
      <c r="O138" s="41"/>
      <c r="P138">
        <v>1</v>
      </c>
      <c r="Q138" t="s">
        <v>173</v>
      </c>
    </row>
    <row r="139" spans="1:17" x14ac:dyDescent="0.35">
      <c r="A139" s="4">
        <v>1548</v>
      </c>
      <c r="B139" s="5">
        <v>36378</v>
      </c>
      <c r="C139" s="5">
        <v>43960</v>
      </c>
      <c r="D139" s="4">
        <v>21</v>
      </c>
      <c r="E139" s="6" t="str" cm="1">
        <f t="array" ref="E139">_xlfn.IFS(D139&lt;=5,"Newcomer",AND(D139&gt;=6,D139&lt;=10),"Proficient",D139&gt;10,"Expert")</f>
        <v>Expert</v>
      </c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 t="str" cm="1">
        <f t="array" ref="M139">_xlfn.IFS(L139="Retirement","Voluntary",L139="Resignation","Voluntary",L139="Layoff","InVoluntary")</f>
        <v>Voluntary</v>
      </c>
      <c r="N139" s="4" t="s">
        <v>26</v>
      </c>
      <c r="O139" s="41"/>
      <c r="P139">
        <v>1</v>
      </c>
      <c r="Q139" t="s">
        <v>173</v>
      </c>
    </row>
    <row r="140" spans="1:17" x14ac:dyDescent="0.35">
      <c r="A140" s="4">
        <v>1549</v>
      </c>
      <c r="B140" s="5">
        <v>40050</v>
      </c>
      <c r="C140" s="5">
        <v>44163</v>
      </c>
      <c r="D140" s="4">
        <v>11</v>
      </c>
      <c r="E140" s="6" t="str" cm="1">
        <f t="array" ref="E140">_xlfn.IFS(D140&lt;=5,"Newcomer",AND(D140&gt;=6,D140&lt;=10),"Proficient",D140&gt;10,"Expert")</f>
        <v>Expert</v>
      </c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 t="str" cm="1">
        <f t="array" ref="M140">_xlfn.IFS(L140="Retirement","Voluntary",L140="Resignation","Voluntary",L140="Layoff","InVoluntary")</f>
        <v>Voluntary</v>
      </c>
      <c r="N140" s="4" t="s">
        <v>26</v>
      </c>
      <c r="O140" s="41"/>
      <c r="P140">
        <v>1</v>
      </c>
      <c r="Q140" t="s">
        <v>173</v>
      </c>
    </row>
    <row r="141" spans="1:17" x14ac:dyDescent="0.35">
      <c r="A141" s="4">
        <v>1550</v>
      </c>
      <c r="B141" s="5">
        <v>38267</v>
      </c>
      <c r="C141" s="5">
        <v>44104</v>
      </c>
      <c r="D141" s="4">
        <v>16</v>
      </c>
      <c r="E141" s="6" t="str" cm="1">
        <f t="array" ref="E141">_xlfn.IFS(D141&lt;=5,"Newcomer",AND(D141&gt;=6,D141&lt;=10),"Proficient",D141&gt;10,"Expert")</f>
        <v>Expert</v>
      </c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 t="str" cm="1">
        <f t="array" ref="M141">_xlfn.IFS(L141="Retirement","Voluntary",L141="Resignation","Voluntary",L141="Layoff","InVoluntary")</f>
        <v>Voluntary</v>
      </c>
      <c r="N141" s="4" t="s">
        <v>20</v>
      </c>
      <c r="O141" s="41"/>
      <c r="P141">
        <v>1</v>
      </c>
      <c r="Q141" t="s">
        <v>173</v>
      </c>
    </row>
    <row r="142" spans="1:17" x14ac:dyDescent="0.35">
      <c r="A142" s="4">
        <v>1552</v>
      </c>
      <c r="B142" s="5">
        <v>36423</v>
      </c>
      <c r="C142" s="5">
        <v>43951</v>
      </c>
      <c r="D142" s="4">
        <v>21</v>
      </c>
      <c r="E142" s="6" t="str" cm="1">
        <f t="array" ref="E142">_xlfn.IFS(D142&lt;=5,"Newcomer",AND(D142&gt;=6,D142&lt;=10),"Proficient",D142&gt;10,"Expert")</f>
        <v>Expert</v>
      </c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 t="str" cm="1">
        <f t="array" ref="M142">_xlfn.IFS(L142="Retirement","Voluntary",L142="Resignation","Voluntary",L142="Layoff","InVoluntary")</f>
        <v>Voluntary</v>
      </c>
      <c r="N142" s="4" t="s">
        <v>26</v>
      </c>
      <c r="O142" s="41"/>
      <c r="P142">
        <v>1</v>
      </c>
      <c r="Q142" t="s">
        <v>173</v>
      </c>
    </row>
    <row r="143" spans="1:17" x14ac:dyDescent="0.35">
      <c r="A143" s="4">
        <v>1553</v>
      </c>
      <c r="B143" s="5">
        <v>39805</v>
      </c>
      <c r="C143" s="5">
        <v>43839</v>
      </c>
      <c r="D143" s="4">
        <v>12</v>
      </c>
      <c r="E143" s="6" t="str" cm="1">
        <f t="array" ref="E143">_xlfn.IFS(D143&lt;=5,"Newcomer",AND(D143&gt;=6,D143&lt;=10),"Proficient",D143&gt;10,"Expert")</f>
        <v>Expert</v>
      </c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 t="str" cm="1">
        <f t="array" ref="M143">_xlfn.IFS(L143="Retirement","Voluntary",L143="Resignation","Voluntary",L143="Layoff","InVoluntary")</f>
        <v>Voluntary</v>
      </c>
      <c r="N143" s="4" t="s">
        <v>26</v>
      </c>
      <c r="O143" s="41"/>
      <c r="P143">
        <v>1</v>
      </c>
      <c r="Q143" t="s">
        <v>173</v>
      </c>
    </row>
    <row r="144" spans="1:17" x14ac:dyDescent="0.35">
      <c r="A144" s="4">
        <v>1554</v>
      </c>
      <c r="B144" s="5">
        <v>35923</v>
      </c>
      <c r="C144" s="5">
        <v>44089</v>
      </c>
      <c r="D144" s="4">
        <v>22</v>
      </c>
      <c r="E144" s="6" t="str" cm="1">
        <f t="array" ref="E144">_xlfn.IFS(D144&lt;=5,"Newcomer",AND(D144&gt;=6,D144&lt;=10),"Proficient",D144&gt;10,"Expert")</f>
        <v>Expert</v>
      </c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 t="str" cm="1">
        <f t="array" ref="M144">_xlfn.IFS(L144="Retirement","Voluntary",L144="Resignation","Voluntary",L144="Layoff","InVoluntary")</f>
        <v>Voluntary</v>
      </c>
      <c r="N144" s="4" t="s">
        <v>26</v>
      </c>
      <c r="O144" s="41"/>
      <c r="P144">
        <v>1</v>
      </c>
      <c r="Q144" t="s">
        <v>173</v>
      </c>
    </row>
    <row r="145" spans="1:17" x14ac:dyDescent="0.35">
      <c r="A145" s="4">
        <v>1556</v>
      </c>
      <c r="B145" s="5">
        <v>33192</v>
      </c>
      <c r="C145" s="5">
        <v>44108</v>
      </c>
      <c r="D145" s="4">
        <v>30</v>
      </c>
      <c r="E145" s="6" t="str" cm="1">
        <f t="array" ref="E145">_xlfn.IFS(D145&lt;=5,"Newcomer",AND(D145&gt;=6,D145&lt;=10),"Proficient",D145&gt;10,"Expert")</f>
        <v>Expert</v>
      </c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 t="str" cm="1">
        <f t="array" ref="M145">_xlfn.IFS(L145="Retirement","Voluntary",L145="Resignation","Voluntary",L145="Layoff","InVoluntary")</f>
        <v>Voluntary</v>
      </c>
      <c r="N145" s="4" t="s">
        <v>26</v>
      </c>
      <c r="O145" s="41"/>
      <c r="P145">
        <v>1</v>
      </c>
      <c r="Q145" t="s">
        <v>173</v>
      </c>
    </row>
    <row r="146" spans="1:17" x14ac:dyDescent="0.35">
      <c r="A146" s="4">
        <v>1558</v>
      </c>
      <c r="B146" s="5">
        <v>39280</v>
      </c>
      <c r="C146" s="5">
        <v>43991</v>
      </c>
      <c r="D146" s="4">
        <v>13</v>
      </c>
      <c r="E146" s="6" t="str" cm="1">
        <f t="array" ref="E146">_xlfn.IFS(D146&lt;=5,"Newcomer",AND(D146&gt;=6,D146&lt;=10),"Proficient",D146&gt;10,"Expert")</f>
        <v>Expert</v>
      </c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 t="str" cm="1">
        <f t="array" ref="M146">_xlfn.IFS(L146="Retirement","Voluntary",L146="Resignation","Voluntary",L146="Layoff","InVoluntary")</f>
        <v>Voluntary</v>
      </c>
      <c r="N146" s="4" t="s">
        <v>26</v>
      </c>
      <c r="O146" s="41"/>
      <c r="P146">
        <v>1</v>
      </c>
      <c r="Q146" t="s">
        <v>173</v>
      </c>
    </row>
    <row r="147" spans="1:17" x14ac:dyDescent="0.35">
      <c r="A147" s="4">
        <v>1559</v>
      </c>
      <c r="B147" s="5">
        <v>32923</v>
      </c>
      <c r="C147" s="5">
        <v>43938</v>
      </c>
      <c r="D147" s="4">
        <v>30</v>
      </c>
      <c r="E147" s="6" t="str" cm="1">
        <f t="array" ref="E147">_xlfn.IFS(D147&lt;=5,"Newcomer",AND(D147&gt;=6,D147&lt;=10),"Proficient",D147&gt;10,"Expert")</f>
        <v>Expert</v>
      </c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 t="str" cm="1">
        <f t="array" ref="M147">_xlfn.IFS(L147="Retirement","Voluntary",L147="Resignation","Voluntary",L147="Layoff","InVoluntary")</f>
        <v>Voluntary</v>
      </c>
      <c r="N147" s="4" t="s">
        <v>20</v>
      </c>
      <c r="O147" s="41"/>
      <c r="P147">
        <v>1</v>
      </c>
      <c r="Q147" t="s">
        <v>173</v>
      </c>
    </row>
    <row r="148" spans="1:17" x14ac:dyDescent="0.35">
      <c r="A148" s="4">
        <v>1560</v>
      </c>
      <c r="B148" s="5">
        <v>42064</v>
      </c>
      <c r="C148" s="5">
        <v>43938</v>
      </c>
      <c r="D148" s="4">
        <v>5</v>
      </c>
      <c r="E148" s="6" t="str" cm="1">
        <f t="array" ref="E148">_xlfn.IFS(D148&lt;=5,"Newcomer",AND(D148&gt;=6,D148&lt;=10),"Proficient",D148&gt;10,"Expert")</f>
        <v>Newcomer</v>
      </c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 t="str" cm="1">
        <f t="array" ref="M148">_xlfn.IFS(L148="Retirement","Voluntary",L148="Resignation","Voluntary",L148="Layoff","InVoluntary")</f>
        <v>Voluntary</v>
      </c>
      <c r="N148" s="4" t="s">
        <v>20</v>
      </c>
      <c r="O148" s="41"/>
      <c r="P148">
        <v>1</v>
      </c>
      <c r="Q148" t="s">
        <v>173</v>
      </c>
    </row>
    <row r="149" spans="1:17" x14ac:dyDescent="0.35">
      <c r="A149" s="4">
        <v>1562</v>
      </c>
      <c r="B149" s="5">
        <v>37144</v>
      </c>
      <c r="C149" s="5">
        <v>44032</v>
      </c>
      <c r="D149" s="4">
        <v>19</v>
      </c>
      <c r="E149" s="6" t="str" cm="1">
        <f t="array" ref="E149">_xlfn.IFS(D149&lt;=5,"Newcomer",AND(D149&gt;=6,D149&lt;=10),"Proficient",D149&gt;10,"Expert")</f>
        <v>Expert</v>
      </c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 t="str" cm="1">
        <f t="array" ref="M149">_xlfn.IFS(L149="Retirement","Voluntary",L149="Resignation","Voluntary",L149="Layoff","InVoluntary")</f>
        <v>Voluntary</v>
      </c>
      <c r="N149" s="4" t="s">
        <v>26</v>
      </c>
      <c r="O149" s="41"/>
      <c r="P149">
        <v>1</v>
      </c>
      <c r="Q149" t="s">
        <v>173</v>
      </c>
    </row>
    <row r="150" spans="1:17" x14ac:dyDescent="0.35">
      <c r="A150" s="4">
        <v>1566</v>
      </c>
      <c r="B150" s="5">
        <v>40942</v>
      </c>
      <c r="C150" s="5">
        <v>43995</v>
      </c>
      <c r="D150" s="4">
        <v>8</v>
      </c>
      <c r="E150" s="6" t="str" cm="1">
        <f t="array" ref="E150">_xlfn.IFS(D150&lt;=5,"Newcomer",AND(D150&gt;=6,D150&lt;=10),"Proficient",D150&gt;10,"Expert")</f>
        <v>Proficient</v>
      </c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 t="str" cm="1">
        <f t="array" ref="M150">_xlfn.IFS(L150="Retirement","Voluntary",L150="Resignation","Voluntary",L150="Layoff","InVoluntary")</f>
        <v>Voluntary</v>
      </c>
      <c r="N150" s="4" t="s">
        <v>20</v>
      </c>
      <c r="O150" s="41"/>
      <c r="P150">
        <v>1</v>
      </c>
      <c r="Q150" t="s">
        <v>173</v>
      </c>
    </row>
    <row r="151" spans="1:17" x14ac:dyDescent="0.35">
      <c r="A151" s="4">
        <v>1567</v>
      </c>
      <c r="B151" s="5">
        <v>36861</v>
      </c>
      <c r="C151" s="5">
        <v>44167</v>
      </c>
      <c r="D151" s="4">
        <v>20</v>
      </c>
      <c r="E151" s="6" t="str" cm="1">
        <f t="array" ref="E151">_xlfn.IFS(D151&lt;=5,"Newcomer",AND(D151&gt;=6,D151&lt;=10),"Proficient",D151&gt;10,"Expert")</f>
        <v>Expert</v>
      </c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 t="str" cm="1">
        <f t="array" ref="M151">_xlfn.IFS(L151="Retirement","Voluntary",L151="Resignation","Voluntary",L151="Layoff","InVoluntary")</f>
        <v>Voluntary</v>
      </c>
      <c r="N151" s="4" t="s">
        <v>26</v>
      </c>
      <c r="O151" s="41"/>
      <c r="P151">
        <v>1</v>
      </c>
      <c r="Q151" t="s">
        <v>173</v>
      </c>
    </row>
    <row r="152" spans="1:17" x14ac:dyDescent="0.35">
      <c r="A152" s="4">
        <v>1568</v>
      </c>
      <c r="B152" s="5">
        <v>37581</v>
      </c>
      <c r="C152" s="5">
        <v>43945</v>
      </c>
      <c r="D152" s="4">
        <v>18</v>
      </c>
      <c r="E152" s="6" t="str" cm="1">
        <f t="array" ref="E152">_xlfn.IFS(D152&lt;=5,"Newcomer",AND(D152&gt;=6,D152&lt;=10),"Proficient",D152&gt;10,"Expert")</f>
        <v>Expert</v>
      </c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 t="str" cm="1">
        <f t="array" ref="M152">_xlfn.IFS(L152="Retirement","Voluntary",L152="Resignation","Voluntary",L152="Layoff","InVoluntary")</f>
        <v>Voluntary</v>
      </c>
      <c r="N152" s="4" t="s">
        <v>26</v>
      </c>
      <c r="O152" s="41"/>
      <c r="P152">
        <v>1</v>
      </c>
      <c r="Q152" t="s">
        <v>173</v>
      </c>
    </row>
    <row r="153" spans="1:17" x14ac:dyDescent="0.35">
      <c r="A153" s="4">
        <v>1569</v>
      </c>
      <c r="B153" s="5">
        <v>38575</v>
      </c>
      <c r="C153" s="5">
        <v>43974</v>
      </c>
      <c r="D153" s="4">
        <v>15</v>
      </c>
      <c r="E153" s="6" t="str" cm="1">
        <f t="array" ref="E153">_xlfn.IFS(D153&lt;=5,"Newcomer",AND(D153&gt;=6,D153&lt;=10),"Proficient",D153&gt;10,"Expert")</f>
        <v>Expert</v>
      </c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 t="str" cm="1">
        <f t="array" ref="M153">_xlfn.IFS(L153="Retirement","Voluntary",L153="Resignation","Voluntary",L153="Layoff","InVoluntary")</f>
        <v>Voluntary</v>
      </c>
      <c r="N153" s="4" t="s">
        <v>26</v>
      </c>
      <c r="O153" s="41"/>
      <c r="P153">
        <v>1</v>
      </c>
      <c r="Q153" t="s">
        <v>173</v>
      </c>
    </row>
    <row r="154" spans="1:17" x14ac:dyDescent="0.35">
      <c r="A154" s="4">
        <v>1571</v>
      </c>
      <c r="B154" s="5">
        <v>41167</v>
      </c>
      <c r="C154" s="5">
        <v>43894</v>
      </c>
      <c r="D154" s="4">
        <v>8</v>
      </c>
      <c r="E154" s="6" t="str" cm="1">
        <f t="array" ref="E154">_xlfn.IFS(D154&lt;=5,"Newcomer",AND(D154&gt;=6,D154&lt;=10),"Proficient",D154&gt;10,"Expert")</f>
        <v>Proficient</v>
      </c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 t="str" cm="1">
        <f t="array" ref="M154">_xlfn.IFS(L154="Retirement","Voluntary",L154="Resignation","Voluntary",L154="Layoff","InVoluntary")</f>
        <v>Voluntary</v>
      </c>
      <c r="N154" s="4" t="s">
        <v>20</v>
      </c>
      <c r="O154" s="41"/>
      <c r="P154">
        <v>1</v>
      </c>
      <c r="Q154" t="s">
        <v>173</v>
      </c>
    </row>
    <row r="155" spans="1:17" x14ac:dyDescent="0.35">
      <c r="A155" s="4">
        <v>1573</v>
      </c>
      <c r="B155" s="5">
        <v>42035</v>
      </c>
      <c r="C155" s="5">
        <v>43881</v>
      </c>
      <c r="D155" s="4">
        <v>5</v>
      </c>
      <c r="E155" s="6" t="str" cm="1">
        <f t="array" ref="E155">_xlfn.IFS(D155&lt;=5,"Newcomer",AND(D155&gt;=6,D155&lt;=10),"Proficient",D155&gt;10,"Expert")</f>
        <v>Newcomer</v>
      </c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 t="str" cm="1">
        <f t="array" ref="M155">_xlfn.IFS(L155="Retirement","Voluntary",L155="Resignation","Voluntary",L155="Layoff","InVoluntary")</f>
        <v>Voluntary</v>
      </c>
      <c r="N155" s="4" t="s">
        <v>26</v>
      </c>
      <c r="O155" s="41"/>
      <c r="P155">
        <v>1</v>
      </c>
      <c r="Q155" t="s">
        <v>173</v>
      </c>
    </row>
    <row r="156" spans="1:17" x14ac:dyDescent="0.35">
      <c r="A156" s="4">
        <v>1574</v>
      </c>
      <c r="B156" s="5">
        <v>36765</v>
      </c>
      <c r="C156" s="5">
        <v>44179</v>
      </c>
      <c r="D156" s="4">
        <v>20</v>
      </c>
      <c r="E156" s="6" t="str" cm="1">
        <f t="array" ref="E156">_xlfn.IFS(D156&lt;=5,"Newcomer",AND(D156&gt;=6,D156&lt;=10),"Proficient",D156&gt;10,"Expert")</f>
        <v>Expert</v>
      </c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 t="str" cm="1">
        <f t="array" ref="M156">_xlfn.IFS(L156="Retirement","Voluntary",L156="Resignation","Voluntary",L156="Layoff","InVoluntary")</f>
        <v>Voluntary</v>
      </c>
      <c r="N156" s="4" t="s">
        <v>26</v>
      </c>
      <c r="O156" s="41"/>
      <c r="P156">
        <v>1</v>
      </c>
      <c r="Q156" t="s">
        <v>173</v>
      </c>
    </row>
    <row r="157" spans="1:17" x14ac:dyDescent="0.35">
      <c r="A157" s="4">
        <v>1575</v>
      </c>
      <c r="B157" s="5">
        <v>35491</v>
      </c>
      <c r="C157" s="5">
        <v>43871</v>
      </c>
      <c r="D157" s="4">
        <v>23</v>
      </c>
      <c r="E157" s="6" t="str" cm="1">
        <f t="array" ref="E157">_xlfn.IFS(D157&lt;=5,"Newcomer",AND(D157&gt;=6,D157&lt;=10),"Proficient",D157&gt;10,"Expert")</f>
        <v>Expert</v>
      </c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 t="str" cm="1">
        <f t="array" ref="M157">_xlfn.IFS(L157="Retirement","Voluntary",L157="Resignation","Voluntary",L157="Layoff","InVoluntary")</f>
        <v>Voluntary</v>
      </c>
      <c r="N157" s="4" t="s">
        <v>26</v>
      </c>
      <c r="O157" s="41"/>
      <c r="P157">
        <v>1</v>
      </c>
      <c r="Q157" t="s">
        <v>173</v>
      </c>
    </row>
    <row r="158" spans="1:17" x14ac:dyDescent="0.35">
      <c r="A158" s="4">
        <v>1578</v>
      </c>
      <c r="B158" s="5">
        <v>38795</v>
      </c>
      <c r="C158" s="5">
        <v>43912</v>
      </c>
      <c r="D158" s="4">
        <v>14</v>
      </c>
      <c r="E158" s="6" t="str" cm="1">
        <f t="array" ref="E158">_xlfn.IFS(D158&lt;=5,"Newcomer",AND(D158&gt;=6,D158&lt;=10),"Proficient",D158&gt;10,"Expert")</f>
        <v>Expert</v>
      </c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 t="str" cm="1">
        <f t="array" ref="M158">_xlfn.IFS(L158="Retirement","Voluntary",L158="Resignation","Voluntary",L158="Layoff","InVoluntary")</f>
        <v>Voluntary</v>
      </c>
      <c r="N158" s="4" t="s">
        <v>20</v>
      </c>
      <c r="O158" s="41"/>
      <c r="P158">
        <v>1</v>
      </c>
      <c r="Q158" t="s">
        <v>173</v>
      </c>
    </row>
    <row r="159" spans="1:17" x14ac:dyDescent="0.35">
      <c r="A159" s="4">
        <v>1579</v>
      </c>
      <c r="B159" s="5">
        <v>38868</v>
      </c>
      <c r="C159" s="5">
        <v>43916</v>
      </c>
      <c r="D159" s="4">
        <v>14</v>
      </c>
      <c r="E159" s="6" t="str" cm="1">
        <f t="array" ref="E159">_xlfn.IFS(D159&lt;=5,"Newcomer",AND(D159&gt;=6,D159&lt;=10),"Proficient",D159&gt;10,"Expert")</f>
        <v>Expert</v>
      </c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 t="str" cm="1">
        <f t="array" ref="M159">_xlfn.IFS(L159="Retirement","Voluntary",L159="Resignation","Voluntary",L159="Layoff","InVoluntary")</f>
        <v>Voluntary</v>
      </c>
      <c r="N159" s="4" t="s">
        <v>20</v>
      </c>
      <c r="O159" s="41"/>
      <c r="P159">
        <v>1</v>
      </c>
      <c r="Q159" t="s">
        <v>173</v>
      </c>
    </row>
    <row r="160" spans="1:17" x14ac:dyDescent="0.35">
      <c r="A160" s="4">
        <v>1580</v>
      </c>
      <c r="B160" s="5">
        <v>37073</v>
      </c>
      <c r="C160" s="5">
        <v>44014</v>
      </c>
      <c r="D160" s="4">
        <v>19</v>
      </c>
      <c r="E160" s="6" t="str" cm="1">
        <f t="array" ref="E160">_xlfn.IFS(D160&lt;=5,"Newcomer",AND(D160&gt;=6,D160&lt;=10),"Proficient",D160&gt;10,"Expert")</f>
        <v>Expert</v>
      </c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 t="str" cm="1">
        <f t="array" ref="M160">_xlfn.IFS(L160="Retirement","Voluntary",L160="Resignation","Voluntary",L160="Layoff","InVoluntary")</f>
        <v>Voluntary</v>
      </c>
      <c r="N160" s="4" t="s">
        <v>26</v>
      </c>
      <c r="O160" s="41"/>
      <c r="P160">
        <v>1</v>
      </c>
      <c r="Q160" t="s">
        <v>173</v>
      </c>
    </row>
    <row r="161" spans="1:17" x14ac:dyDescent="0.35">
      <c r="A161" s="4">
        <v>1581</v>
      </c>
      <c r="B161" s="5">
        <v>41840</v>
      </c>
      <c r="C161" s="5">
        <v>43986</v>
      </c>
      <c r="D161" s="4">
        <v>6</v>
      </c>
      <c r="E161" s="6" t="str" cm="1">
        <f t="array" ref="E161">_xlfn.IFS(D161&lt;=5,"Newcomer",AND(D161&gt;=6,D161&lt;=10),"Proficient",D161&gt;10,"Expert")</f>
        <v>Proficient</v>
      </c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 t="str" cm="1">
        <f t="array" ref="M161">_xlfn.IFS(L161="Retirement","Voluntary",L161="Resignation","Voluntary",L161="Layoff","InVoluntary")</f>
        <v>Voluntary</v>
      </c>
      <c r="N161" s="4" t="s">
        <v>26</v>
      </c>
      <c r="O161" s="41"/>
      <c r="P161">
        <v>1</v>
      </c>
      <c r="Q161" t="s">
        <v>173</v>
      </c>
    </row>
    <row r="162" spans="1:17" x14ac:dyDescent="0.35">
      <c r="A162" s="4">
        <v>1585</v>
      </c>
      <c r="B162" s="5">
        <v>37227</v>
      </c>
      <c r="C162" s="5">
        <v>43849</v>
      </c>
      <c r="D162" s="4">
        <v>19</v>
      </c>
      <c r="E162" s="6" t="str" cm="1">
        <f t="array" ref="E162">_xlfn.IFS(D162&lt;=5,"Newcomer",AND(D162&gt;=6,D162&lt;=10),"Proficient",D162&gt;10,"Expert")</f>
        <v>Expert</v>
      </c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 t="str" cm="1">
        <f t="array" ref="M162">_xlfn.IFS(L162="Retirement","Voluntary",L162="Resignation","Voluntary",L162="Layoff","InVoluntary")</f>
        <v>Voluntary</v>
      </c>
      <c r="N162" s="4" t="s">
        <v>26</v>
      </c>
      <c r="O162" s="41"/>
      <c r="P162">
        <v>1</v>
      </c>
      <c r="Q162" t="s">
        <v>173</v>
      </c>
    </row>
    <row r="163" spans="1:17" x14ac:dyDescent="0.35">
      <c r="A163" s="4">
        <v>1586</v>
      </c>
      <c r="B163" s="5">
        <v>33743</v>
      </c>
      <c r="C163" s="5">
        <v>44148</v>
      </c>
      <c r="D163" s="4">
        <v>28</v>
      </c>
      <c r="E163" s="6" t="str" cm="1">
        <f t="array" ref="E163">_xlfn.IFS(D163&lt;=5,"Newcomer",AND(D163&gt;=6,D163&lt;=10),"Proficient",D163&gt;10,"Expert")</f>
        <v>Expert</v>
      </c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 t="str" cm="1">
        <f t="array" ref="M163">_xlfn.IFS(L163="Retirement","Voluntary",L163="Resignation","Voluntary",L163="Layoff","InVoluntary")</f>
        <v>Voluntary</v>
      </c>
      <c r="N163" s="4" t="s">
        <v>26</v>
      </c>
      <c r="O163" s="41"/>
      <c r="P163">
        <v>1</v>
      </c>
      <c r="Q163" t="s">
        <v>173</v>
      </c>
    </row>
    <row r="164" spans="1:17" x14ac:dyDescent="0.35">
      <c r="A164" s="4">
        <v>1587</v>
      </c>
      <c r="B164" s="5">
        <v>40729</v>
      </c>
      <c r="C164" s="5">
        <v>44149</v>
      </c>
      <c r="D164" s="4">
        <v>9</v>
      </c>
      <c r="E164" s="6" t="str" cm="1">
        <f t="array" ref="E164">_xlfn.IFS(D164&lt;=5,"Newcomer",AND(D164&gt;=6,D164&lt;=10),"Proficient",D164&gt;10,"Expert")</f>
        <v>Proficient</v>
      </c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 t="str" cm="1">
        <f t="array" ref="M164">_xlfn.IFS(L164="Retirement","Voluntary",L164="Resignation","Voluntary",L164="Layoff","InVoluntary")</f>
        <v>Voluntary</v>
      </c>
      <c r="N164" s="4" t="s">
        <v>26</v>
      </c>
      <c r="O164" s="41"/>
      <c r="P164">
        <v>1</v>
      </c>
      <c r="Q164" t="s">
        <v>173</v>
      </c>
    </row>
    <row r="165" spans="1:17" x14ac:dyDescent="0.35">
      <c r="A165" s="4">
        <v>1588</v>
      </c>
      <c r="B165" s="5">
        <v>35808</v>
      </c>
      <c r="C165" s="5">
        <v>43920</v>
      </c>
      <c r="D165" s="4">
        <v>22</v>
      </c>
      <c r="E165" s="6" t="str" cm="1">
        <f t="array" ref="E165">_xlfn.IFS(D165&lt;=5,"Newcomer",AND(D165&gt;=6,D165&lt;=10),"Proficient",D165&gt;10,"Expert")</f>
        <v>Expert</v>
      </c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 t="str" cm="1">
        <f t="array" ref="M165">_xlfn.IFS(L165="Retirement","Voluntary",L165="Resignation","Voluntary",L165="Layoff","InVoluntary")</f>
        <v>Voluntary</v>
      </c>
      <c r="N165" s="4" t="s">
        <v>26</v>
      </c>
      <c r="O165" s="41"/>
      <c r="P165">
        <v>1</v>
      </c>
      <c r="Q165" t="s">
        <v>173</v>
      </c>
    </row>
    <row r="166" spans="1:17" x14ac:dyDescent="0.35">
      <c r="A166" s="4">
        <v>1589</v>
      </c>
      <c r="B166" s="5">
        <v>35213</v>
      </c>
      <c r="C166" s="5">
        <v>44172</v>
      </c>
      <c r="D166" s="4">
        <v>24</v>
      </c>
      <c r="E166" s="6" t="str" cm="1">
        <f t="array" ref="E166">_xlfn.IFS(D166&lt;=5,"Newcomer",AND(D166&gt;=6,D166&lt;=10),"Proficient",D166&gt;10,"Expert")</f>
        <v>Expert</v>
      </c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 t="str" cm="1">
        <f t="array" ref="M166">_xlfn.IFS(L166="Retirement","Voluntary",L166="Resignation","Voluntary",L166="Layoff","InVoluntary")</f>
        <v>Voluntary</v>
      </c>
      <c r="N166" s="4" t="s">
        <v>26</v>
      </c>
      <c r="O166" s="41"/>
      <c r="P166">
        <v>1</v>
      </c>
      <c r="Q166" t="s">
        <v>173</v>
      </c>
    </row>
    <row r="167" spans="1:17" x14ac:dyDescent="0.35">
      <c r="A167" s="4">
        <v>1590</v>
      </c>
      <c r="B167" s="5">
        <v>36355</v>
      </c>
      <c r="C167" s="5">
        <v>43957</v>
      </c>
      <c r="D167" s="4">
        <v>21</v>
      </c>
      <c r="E167" s="6" t="str" cm="1">
        <f t="array" ref="E167">_xlfn.IFS(D167&lt;=5,"Newcomer",AND(D167&gt;=6,D167&lt;=10),"Proficient",D167&gt;10,"Expert")</f>
        <v>Expert</v>
      </c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 t="str" cm="1">
        <f t="array" ref="M167">_xlfn.IFS(L167="Retirement","Voluntary",L167="Resignation","Voluntary",L167="Layoff","InVoluntary")</f>
        <v>Voluntary</v>
      </c>
      <c r="N167" s="4" t="s">
        <v>26</v>
      </c>
      <c r="O167" s="41"/>
      <c r="P167">
        <v>1</v>
      </c>
      <c r="Q167" t="s">
        <v>173</v>
      </c>
    </row>
    <row r="168" spans="1:17" x14ac:dyDescent="0.35">
      <c r="A168" s="4">
        <v>1592</v>
      </c>
      <c r="B168" s="5">
        <v>42340</v>
      </c>
      <c r="C168" s="5">
        <v>43863</v>
      </c>
      <c r="D168" s="4">
        <v>5</v>
      </c>
      <c r="E168" s="6" t="str" cm="1">
        <f t="array" ref="E168">_xlfn.IFS(D168&lt;=5,"Newcomer",AND(D168&gt;=6,D168&lt;=10),"Proficient",D168&gt;10,"Expert")</f>
        <v>Newcomer</v>
      </c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 t="str" cm="1">
        <f t="array" ref="M168">_xlfn.IFS(L168="Retirement","Voluntary",L168="Resignation","Voluntary",L168="Layoff","InVoluntary")</f>
        <v>Voluntary</v>
      </c>
      <c r="N168" s="4" t="s">
        <v>20</v>
      </c>
      <c r="O168" s="41"/>
      <c r="P168">
        <v>1</v>
      </c>
      <c r="Q168" t="s">
        <v>173</v>
      </c>
    </row>
    <row r="169" spans="1:17" x14ac:dyDescent="0.35">
      <c r="A169" s="4">
        <v>1593</v>
      </c>
      <c r="B169" s="5">
        <v>36911</v>
      </c>
      <c r="C169" s="5">
        <v>44187</v>
      </c>
      <c r="D169" s="4">
        <v>19</v>
      </c>
      <c r="E169" s="6" t="str" cm="1">
        <f t="array" ref="E169">_xlfn.IFS(D169&lt;=5,"Newcomer",AND(D169&gt;=6,D169&lt;=10),"Proficient",D169&gt;10,"Expert")</f>
        <v>Expert</v>
      </c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 t="str" cm="1">
        <f t="array" ref="M169">_xlfn.IFS(L169="Retirement","Voluntary",L169="Resignation","Voluntary",L169="Layoff","InVoluntary")</f>
        <v>Voluntary</v>
      </c>
      <c r="N169" s="4" t="s">
        <v>26</v>
      </c>
      <c r="O169" s="41"/>
      <c r="P169">
        <v>1</v>
      </c>
      <c r="Q169" t="s">
        <v>173</v>
      </c>
    </row>
    <row r="170" spans="1:17" x14ac:dyDescent="0.35">
      <c r="A170" s="4">
        <v>1594</v>
      </c>
      <c r="B170" s="5">
        <v>37695</v>
      </c>
      <c r="C170" s="5">
        <v>43837</v>
      </c>
      <c r="D170" s="4">
        <v>17</v>
      </c>
      <c r="E170" s="6" t="str" cm="1">
        <f t="array" ref="E170">_xlfn.IFS(D170&lt;=5,"Newcomer",AND(D170&gt;=6,D170&lt;=10),"Proficient",D170&gt;10,"Expert")</f>
        <v>Expert</v>
      </c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 t="str" cm="1">
        <f t="array" ref="M170">_xlfn.IFS(L170="Retirement","Voluntary",L170="Resignation","Voluntary",L170="Layoff","InVoluntary")</f>
        <v>Voluntary</v>
      </c>
      <c r="N170" s="4" t="s">
        <v>20</v>
      </c>
      <c r="O170" s="41"/>
      <c r="P170">
        <v>1</v>
      </c>
      <c r="Q170" t="s">
        <v>173</v>
      </c>
    </row>
    <row r="171" spans="1:17" x14ac:dyDescent="0.35">
      <c r="A171" s="4">
        <v>1595</v>
      </c>
      <c r="B171" s="5">
        <v>34326</v>
      </c>
      <c r="C171" s="5">
        <v>44118</v>
      </c>
      <c r="D171" s="4">
        <v>27</v>
      </c>
      <c r="E171" s="6" t="str" cm="1">
        <f t="array" ref="E171">_xlfn.IFS(D171&lt;=5,"Newcomer",AND(D171&gt;=6,D171&lt;=10),"Proficient",D171&gt;10,"Expert")</f>
        <v>Expert</v>
      </c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 t="str" cm="1">
        <f t="array" ref="M171">_xlfn.IFS(L171="Retirement","Voluntary",L171="Resignation","Voluntary",L171="Layoff","InVoluntary")</f>
        <v>Voluntary</v>
      </c>
      <c r="N171" s="4" t="s">
        <v>26</v>
      </c>
      <c r="O171" s="41"/>
      <c r="P171">
        <v>1</v>
      </c>
      <c r="Q171" t="s">
        <v>173</v>
      </c>
    </row>
    <row r="172" spans="1:17" x14ac:dyDescent="0.35">
      <c r="A172" s="4">
        <v>1596</v>
      </c>
      <c r="B172" s="5">
        <v>40371</v>
      </c>
      <c r="C172" s="5">
        <v>44077</v>
      </c>
      <c r="D172" s="4">
        <v>10</v>
      </c>
      <c r="E172" s="6" t="str" cm="1">
        <f t="array" ref="E172">_xlfn.IFS(D172&lt;=5,"Newcomer",AND(D172&gt;=6,D172&lt;=10),"Proficient",D172&gt;10,"Expert")</f>
        <v>Proficient</v>
      </c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 t="str" cm="1">
        <f t="array" ref="M172">_xlfn.IFS(L172="Retirement","Voluntary",L172="Resignation","Voluntary",L172="Layoff","InVoluntary")</f>
        <v>Voluntary</v>
      </c>
      <c r="N172" s="4" t="s">
        <v>20</v>
      </c>
      <c r="O172" s="41"/>
      <c r="P172">
        <v>1</v>
      </c>
      <c r="Q172" t="s">
        <v>173</v>
      </c>
    </row>
    <row r="173" spans="1:17" x14ac:dyDescent="0.35">
      <c r="A173" s="4">
        <v>1597</v>
      </c>
      <c r="B173" s="5">
        <v>40563</v>
      </c>
      <c r="C173" s="5">
        <v>44025</v>
      </c>
      <c r="D173" s="4">
        <v>9</v>
      </c>
      <c r="E173" s="6" t="str" cm="1">
        <f t="array" ref="E173">_xlfn.IFS(D173&lt;=5,"Newcomer",AND(D173&gt;=6,D173&lt;=10),"Proficient",D173&gt;10,"Expert")</f>
        <v>Proficient</v>
      </c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 t="str" cm="1">
        <f t="array" ref="M173">_xlfn.IFS(L173="Retirement","Voluntary",L173="Resignation","Voluntary",L173="Layoff","InVoluntary")</f>
        <v>Voluntary</v>
      </c>
      <c r="N173" s="4" t="s">
        <v>20</v>
      </c>
      <c r="O173" s="41"/>
      <c r="P173">
        <v>1</v>
      </c>
      <c r="Q173" t="s">
        <v>173</v>
      </c>
    </row>
    <row r="174" spans="1:17" x14ac:dyDescent="0.35">
      <c r="A174" s="4">
        <v>1598</v>
      </c>
      <c r="B174" s="5">
        <v>42101</v>
      </c>
      <c r="C174" s="5">
        <v>44179</v>
      </c>
      <c r="D174" s="4">
        <v>5</v>
      </c>
      <c r="E174" s="6" t="str" cm="1">
        <f t="array" ref="E174">_xlfn.IFS(D174&lt;=5,"Newcomer",AND(D174&gt;=6,D174&lt;=10),"Proficient",D174&gt;10,"Expert")</f>
        <v>Newcomer</v>
      </c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 t="str" cm="1">
        <f t="array" ref="M174">_xlfn.IFS(L174="Retirement","Voluntary",L174="Resignation","Voluntary",L174="Layoff","InVoluntary")</f>
        <v>Voluntary</v>
      </c>
      <c r="N174" s="4" t="s">
        <v>20</v>
      </c>
      <c r="O174" s="41"/>
      <c r="P174">
        <v>1</v>
      </c>
      <c r="Q174" t="s">
        <v>173</v>
      </c>
    </row>
    <row r="175" spans="1:17" x14ac:dyDescent="0.35">
      <c r="A175" s="4">
        <v>1599</v>
      </c>
      <c r="B175" s="5">
        <v>39258</v>
      </c>
      <c r="C175" s="5">
        <v>44016</v>
      </c>
      <c r="D175" s="4">
        <v>13</v>
      </c>
      <c r="E175" s="6" t="str" cm="1">
        <f t="array" ref="E175">_xlfn.IFS(D175&lt;=5,"Newcomer",AND(D175&gt;=6,D175&lt;=10),"Proficient",D175&gt;10,"Expert")</f>
        <v>Expert</v>
      </c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 t="str" cm="1">
        <f t="array" ref="M175">_xlfn.IFS(L175="Retirement","Voluntary",L175="Resignation","Voluntary",L175="Layoff","InVoluntary")</f>
        <v>Voluntary</v>
      </c>
      <c r="N175" s="4" t="s">
        <v>26</v>
      </c>
      <c r="O175" s="41"/>
      <c r="P175">
        <v>1</v>
      </c>
      <c r="Q175" t="s">
        <v>173</v>
      </c>
    </row>
    <row r="176" spans="1:17" x14ac:dyDescent="0.35">
      <c r="A176" s="4">
        <v>1600</v>
      </c>
      <c r="B176" s="5">
        <v>35126</v>
      </c>
      <c r="C176" s="5">
        <v>44089</v>
      </c>
      <c r="D176" s="4">
        <v>24</v>
      </c>
      <c r="E176" s="6" t="str" cm="1">
        <f t="array" ref="E176">_xlfn.IFS(D176&lt;=5,"Newcomer",AND(D176&gt;=6,D176&lt;=10),"Proficient",D176&gt;10,"Expert")</f>
        <v>Expert</v>
      </c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 t="str" cm="1">
        <f t="array" ref="M176">_xlfn.IFS(L176="Retirement","Voluntary",L176="Resignation","Voluntary",L176="Layoff","InVoluntary")</f>
        <v>Voluntary</v>
      </c>
      <c r="N176" s="4" t="s">
        <v>26</v>
      </c>
      <c r="O176" s="41"/>
      <c r="P176">
        <v>1</v>
      </c>
      <c r="Q176" t="s">
        <v>173</v>
      </c>
    </row>
    <row r="177" spans="1:17" x14ac:dyDescent="0.35">
      <c r="A177" s="4">
        <v>1603</v>
      </c>
      <c r="B177" s="5">
        <v>37870</v>
      </c>
      <c r="C177" s="5">
        <v>44091</v>
      </c>
      <c r="D177" s="4">
        <v>17</v>
      </c>
      <c r="E177" s="6" t="str" cm="1">
        <f t="array" ref="E177">_xlfn.IFS(D177&lt;=5,"Newcomer",AND(D177&gt;=6,D177&lt;=10),"Proficient",D177&gt;10,"Expert")</f>
        <v>Expert</v>
      </c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 t="str" cm="1">
        <f t="array" ref="M177">_xlfn.IFS(L177="Retirement","Voluntary",L177="Resignation","Voluntary",L177="Layoff","InVoluntary")</f>
        <v>Voluntary</v>
      </c>
      <c r="N177" s="4" t="s">
        <v>26</v>
      </c>
      <c r="O177" s="41"/>
      <c r="P177">
        <v>1</v>
      </c>
      <c r="Q177" t="s">
        <v>173</v>
      </c>
    </row>
    <row r="178" spans="1:17" x14ac:dyDescent="0.35">
      <c r="A178" s="4">
        <v>1610</v>
      </c>
      <c r="B178" s="5">
        <v>38898</v>
      </c>
      <c r="C178" s="5">
        <v>44056</v>
      </c>
      <c r="D178" s="4">
        <v>14</v>
      </c>
      <c r="E178" s="6" t="str" cm="1">
        <f t="array" ref="E178">_xlfn.IFS(D178&lt;=5,"Newcomer",AND(D178&gt;=6,D178&lt;=10),"Proficient",D178&gt;10,"Expert")</f>
        <v>Expert</v>
      </c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 t="str" cm="1">
        <f t="array" ref="M178">_xlfn.IFS(L178="Retirement","Voluntary",L178="Resignation","Voluntary",L178="Layoff","InVoluntary")</f>
        <v>Voluntary</v>
      </c>
      <c r="N178" s="4" t="s">
        <v>26</v>
      </c>
      <c r="O178" s="41"/>
      <c r="P178">
        <v>1</v>
      </c>
      <c r="Q178" t="s">
        <v>173</v>
      </c>
    </row>
    <row r="179" spans="1:17" x14ac:dyDescent="0.35">
      <c r="A179" s="4">
        <v>1611</v>
      </c>
      <c r="B179" s="5">
        <v>39951</v>
      </c>
      <c r="C179" s="5">
        <v>44179</v>
      </c>
      <c r="D179" s="4">
        <v>11</v>
      </c>
      <c r="E179" s="6" t="str" cm="1">
        <f t="array" ref="E179">_xlfn.IFS(D179&lt;=5,"Newcomer",AND(D179&gt;=6,D179&lt;=10),"Proficient",D179&gt;10,"Expert")</f>
        <v>Expert</v>
      </c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 t="str" cm="1">
        <f t="array" ref="M179">_xlfn.IFS(L179="Retirement","Voluntary",L179="Resignation","Voluntary",L179="Layoff","InVoluntary")</f>
        <v>Voluntary</v>
      </c>
      <c r="N179" s="4" t="s">
        <v>26</v>
      </c>
      <c r="O179" s="41"/>
      <c r="P179">
        <v>1</v>
      </c>
      <c r="Q179" t="s">
        <v>173</v>
      </c>
    </row>
    <row r="180" spans="1:17" x14ac:dyDescent="0.35">
      <c r="A180" s="4">
        <v>1612</v>
      </c>
      <c r="B180" s="5">
        <v>39823</v>
      </c>
      <c r="C180" s="5">
        <v>44017</v>
      </c>
      <c r="D180" s="4">
        <v>11</v>
      </c>
      <c r="E180" s="6" t="str" cm="1">
        <f t="array" ref="E180">_xlfn.IFS(D180&lt;=5,"Newcomer",AND(D180&gt;=6,D180&lt;=10),"Proficient",D180&gt;10,"Expert")</f>
        <v>Expert</v>
      </c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 t="str" cm="1">
        <f t="array" ref="M180">_xlfn.IFS(L180="Retirement","Voluntary",L180="Resignation","Voluntary",L180="Layoff","InVoluntary")</f>
        <v>Voluntary</v>
      </c>
      <c r="N180" s="4" t="s">
        <v>26</v>
      </c>
      <c r="O180" s="41"/>
      <c r="P180">
        <v>1</v>
      </c>
      <c r="Q180" t="s">
        <v>173</v>
      </c>
    </row>
    <row r="181" spans="1:17" x14ac:dyDescent="0.35">
      <c r="A181" s="4">
        <v>1613</v>
      </c>
      <c r="B181" s="5">
        <v>39653</v>
      </c>
      <c r="C181" s="5">
        <v>43859</v>
      </c>
      <c r="D181" s="4">
        <v>12</v>
      </c>
      <c r="E181" s="6" t="str" cm="1">
        <f t="array" ref="E181">_xlfn.IFS(D181&lt;=5,"Newcomer",AND(D181&gt;=6,D181&lt;=10),"Proficient",D181&gt;10,"Expert")</f>
        <v>Expert</v>
      </c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 t="str" cm="1">
        <f t="array" ref="M181">_xlfn.IFS(L181="Retirement","Voluntary",L181="Resignation","Voluntary",L181="Layoff","InVoluntary")</f>
        <v>InVoluntary</v>
      </c>
      <c r="N181" s="4" t="s">
        <v>26</v>
      </c>
      <c r="O181" s="41"/>
      <c r="P181">
        <v>1</v>
      </c>
      <c r="Q181" t="s">
        <v>174</v>
      </c>
    </row>
    <row r="182" spans="1:17" x14ac:dyDescent="0.35">
      <c r="A182" s="4">
        <v>1615</v>
      </c>
      <c r="B182" s="5">
        <v>35678</v>
      </c>
      <c r="C182" s="5">
        <v>43906</v>
      </c>
      <c r="D182" s="4">
        <v>23</v>
      </c>
      <c r="E182" s="6" t="str" cm="1">
        <f t="array" ref="E182">_xlfn.IFS(D182&lt;=5,"Newcomer",AND(D182&gt;=6,D182&lt;=10),"Proficient",D182&gt;10,"Expert")</f>
        <v>Expert</v>
      </c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 t="str" cm="1">
        <f t="array" ref="M182">_xlfn.IFS(L182="Retirement","Voluntary",L182="Resignation","Voluntary",L182="Layoff","InVoluntary")</f>
        <v>Voluntary</v>
      </c>
      <c r="N182" s="4" t="s">
        <v>26</v>
      </c>
      <c r="O182" s="41"/>
      <c r="P182">
        <v>1</v>
      </c>
      <c r="Q182" t="s">
        <v>173</v>
      </c>
    </row>
    <row r="183" spans="1:17" x14ac:dyDescent="0.35">
      <c r="A183" s="4">
        <v>1616</v>
      </c>
      <c r="B183" s="5">
        <v>40921</v>
      </c>
      <c r="C183" s="5">
        <v>44191</v>
      </c>
      <c r="D183" s="4">
        <v>8</v>
      </c>
      <c r="E183" s="6" t="str" cm="1">
        <f t="array" ref="E183">_xlfn.IFS(D183&lt;=5,"Newcomer",AND(D183&gt;=6,D183&lt;=10),"Proficient",D183&gt;10,"Expert")</f>
        <v>Proficient</v>
      </c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 t="str" cm="1">
        <f t="array" ref="M183">_xlfn.IFS(L183="Retirement","Voluntary",L183="Resignation","Voluntary",L183="Layoff","InVoluntary")</f>
        <v>Voluntary</v>
      </c>
      <c r="N183" s="4" t="s">
        <v>26</v>
      </c>
      <c r="O183" s="41"/>
      <c r="P183">
        <v>1</v>
      </c>
      <c r="Q183" t="s">
        <v>173</v>
      </c>
    </row>
    <row r="184" spans="1:17" x14ac:dyDescent="0.35">
      <c r="A184" s="4">
        <v>1617</v>
      </c>
      <c r="B184" s="5">
        <v>36012</v>
      </c>
      <c r="C184" s="5">
        <v>44039</v>
      </c>
      <c r="D184" s="4">
        <v>22</v>
      </c>
      <c r="E184" s="6" t="str" cm="1">
        <f t="array" ref="E184">_xlfn.IFS(D184&lt;=5,"Newcomer",AND(D184&gt;=6,D184&lt;=10),"Proficient",D184&gt;10,"Expert")</f>
        <v>Expert</v>
      </c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 t="str" cm="1">
        <f t="array" ref="M184">_xlfn.IFS(L184="Retirement","Voluntary",L184="Resignation","Voluntary",L184="Layoff","InVoluntary")</f>
        <v>Voluntary</v>
      </c>
      <c r="N184" s="4" t="s">
        <v>26</v>
      </c>
      <c r="O184" s="41"/>
      <c r="P184">
        <v>1</v>
      </c>
      <c r="Q184" t="s">
        <v>173</v>
      </c>
    </row>
    <row r="185" spans="1:17" x14ac:dyDescent="0.35">
      <c r="A185" s="4">
        <v>1618</v>
      </c>
      <c r="B185" s="5">
        <v>38698</v>
      </c>
      <c r="C185" s="5">
        <v>44086</v>
      </c>
      <c r="D185" s="4">
        <v>15</v>
      </c>
      <c r="E185" s="6" t="str" cm="1">
        <f t="array" ref="E185">_xlfn.IFS(D185&lt;=5,"Newcomer",AND(D185&gt;=6,D185&lt;=10),"Proficient",D185&gt;10,"Expert")</f>
        <v>Expert</v>
      </c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 t="str" cm="1">
        <f t="array" ref="M185">_xlfn.IFS(L185="Retirement","Voluntary",L185="Resignation","Voluntary",L185="Layoff","InVoluntary")</f>
        <v>Voluntary</v>
      </c>
      <c r="N185" s="4" t="s">
        <v>26</v>
      </c>
      <c r="O185" s="41"/>
      <c r="P185">
        <v>1</v>
      </c>
      <c r="Q185" t="s">
        <v>173</v>
      </c>
    </row>
    <row r="186" spans="1:17" x14ac:dyDescent="0.35">
      <c r="A186" s="4">
        <v>1619</v>
      </c>
      <c r="B186" s="5">
        <v>37051</v>
      </c>
      <c r="C186" s="5">
        <v>43869</v>
      </c>
      <c r="D186" s="4">
        <v>19</v>
      </c>
      <c r="E186" s="6" t="str" cm="1">
        <f t="array" ref="E186">_xlfn.IFS(D186&lt;=5,"Newcomer",AND(D186&gt;=6,D186&lt;=10),"Proficient",D186&gt;10,"Expert")</f>
        <v>Expert</v>
      </c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 t="str" cm="1">
        <f t="array" ref="M186">_xlfn.IFS(L186="Retirement","Voluntary",L186="Resignation","Voluntary",L186="Layoff","InVoluntary")</f>
        <v>Voluntary</v>
      </c>
      <c r="N186" s="4" t="s">
        <v>26</v>
      </c>
      <c r="O186" s="41"/>
      <c r="P186">
        <v>1</v>
      </c>
      <c r="Q186" t="s">
        <v>173</v>
      </c>
    </row>
    <row r="187" spans="1:17" x14ac:dyDescent="0.35">
      <c r="A187" s="4">
        <v>1621</v>
      </c>
      <c r="B187" s="5">
        <v>33573</v>
      </c>
      <c r="C187" s="5">
        <v>44049</v>
      </c>
      <c r="D187" s="4">
        <v>29</v>
      </c>
      <c r="E187" s="6" t="str" cm="1">
        <f t="array" ref="E187">_xlfn.IFS(D187&lt;=5,"Newcomer",AND(D187&gt;=6,D187&lt;=10),"Proficient",D187&gt;10,"Expert")</f>
        <v>Expert</v>
      </c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 t="str" cm="1">
        <f t="array" ref="M187">_xlfn.IFS(L187="Retirement","Voluntary",L187="Resignation","Voluntary",L187="Layoff","InVoluntary")</f>
        <v>Voluntary</v>
      </c>
      <c r="N187" s="4" t="s">
        <v>26</v>
      </c>
      <c r="O187" s="41"/>
      <c r="P187">
        <v>1</v>
      </c>
      <c r="Q187" t="s">
        <v>173</v>
      </c>
    </row>
    <row r="188" spans="1:17" x14ac:dyDescent="0.35">
      <c r="A188" s="4">
        <v>1624</v>
      </c>
      <c r="B188" s="5">
        <v>37911</v>
      </c>
      <c r="C188" s="5">
        <v>44053</v>
      </c>
      <c r="D188" s="4">
        <v>17</v>
      </c>
      <c r="E188" s="6" t="str" cm="1">
        <f t="array" ref="E188">_xlfn.IFS(D188&lt;=5,"Newcomer",AND(D188&gt;=6,D188&lt;=10),"Proficient",D188&gt;10,"Expert")</f>
        <v>Expert</v>
      </c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 t="str" cm="1">
        <f t="array" ref="M188">_xlfn.IFS(L188="Retirement","Voluntary",L188="Resignation","Voluntary",L188="Layoff","InVoluntary")</f>
        <v>Voluntary</v>
      </c>
      <c r="N188" s="4" t="s">
        <v>26</v>
      </c>
      <c r="O188" s="41"/>
      <c r="P188">
        <v>1</v>
      </c>
      <c r="Q188" t="s">
        <v>173</v>
      </c>
    </row>
    <row r="189" spans="1:17" x14ac:dyDescent="0.35">
      <c r="A189" s="4">
        <v>1627</v>
      </c>
      <c r="B189" s="5">
        <v>40024</v>
      </c>
      <c r="C189" s="5">
        <v>43926</v>
      </c>
      <c r="D189" s="4">
        <v>11</v>
      </c>
      <c r="E189" s="6" t="str" cm="1">
        <f t="array" ref="E189">_xlfn.IFS(D189&lt;=5,"Newcomer",AND(D189&gt;=6,D189&lt;=10),"Proficient",D189&gt;10,"Expert")</f>
        <v>Expert</v>
      </c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 t="str" cm="1">
        <f t="array" ref="M189">_xlfn.IFS(L189="Retirement","Voluntary",L189="Resignation","Voluntary",L189="Layoff","InVoluntary")</f>
        <v>Voluntary</v>
      </c>
      <c r="N189" s="4" t="s">
        <v>26</v>
      </c>
      <c r="O189" s="41"/>
      <c r="P189">
        <v>1</v>
      </c>
      <c r="Q189" t="s">
        <v>173</v>
      </c>
    </row>
    <row r="190" spans="1:17" x14ac:dyDescent="0.35">
      <c r="A190" s="4">
        <v>1628</v>
      </c>
      <c r="B190" s="5">
        <v>41024</v>
      </c>
      <c r="C190" s="5">
        <v>43959</v>
      </c>
      <c r="D190" s="4">
        <v>8</v>
      </c>
      <c r="E190" s="6" t="str" cm="1">
        <f t="array" ref="E190">_xlfn.IFS(D190&lt;=5,"Newcomer",AND(D190&gt;=6,D190&lt;=10),"Proficient",D190&gt;10,"Expert")</f>
        <v>Proficient</v>
      </c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 t="str" cm="1">
        <f t="array" ref="M190">_xlfn.IFS(L190="Retirement","Voluntary",L190="Resignation","Voluntary",L190="Layoff","InVoluntary")</f>
        <v>Voluntary</v>
      </c>
      <c r="N190" s="4" t="s">
        <v>26</v>
      </c>
      <c r="O190" s="41"/>
      <c r="P190">
        <v>1</v>
      </c>
      <c r="Q190" t="s">
        <v>173</v>
      </c>
    </row>
    <row r="191" spans="1:17" x14ac:dyDescent="0.35">
      <c r="A191" s="4">
        <v>1631</v>
      </c>
      <c r="B191" s="5">
        <v>34342</v>
      </c>
      <c r="C191" s="5">
        <v>43908</v>
      </c>
      <c r="D191" s="4">
        <v>26</v>
      </c>
      <c r="E191" s="6" t="str" cm="1">
        <f t="array" ref="E191">_xlfn.IFS(D191&lt;=5,"Newcomer",AND(D191&gt;=6,D191&lt;=10),"Proficient",D191&gt;10,"Expert")</f>
        <v>Expert</v>
      </c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 t="str" cm="1">
        <f t="array" ref="M191">_xlfn.IFS(L191="Retirement","Voluntary",L191="Resignation","Voluntary",L191="Layoff","InVoluntary")</f>
        <v>Voluntary</v>
      </c>
      <c r="N191" s="4" t="s">
        <v>26</v>
      </c>
      <c r="O191" s="41"/>
      <c r="P191">
        <v>1</v>
      </c>
      <c r="Q191" t="s">
        <v>173</v>
      </c>
    </row>
    <row r="192" spans="1:17" x14ac:dyDescent="0.35">
      <c r="A192" s="4">
        <v>1632</v>
      </c>
      <c r="B192" s="5">
        <v>36334</v>
      </c>
      <c r="C192" s="5">
        <v>43891</v>
      </c>
      <c r="D192" s="4">
        <v>21</v>
      </c>
      <c r="E192" s="6" t="str" cm="1">
        <f t="array" ref="E192">_xlfn.IFS(D192&lt;=5,"Newcomer",AND(D192&gt;=6,D192&lt;=10),"Proficient",D192&gt;10,"Expert")</f>
        <v>Expert</v>
      </c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 t="str" cm="1">
        <f t="array" ref="M192">_xlfn.IFS(L192="Retirement","Voluntary",L192="Resignation","Voluntary",L192="Layoff","InVoluntary")</f>
        <v>Voluntary</v>
      </c>
      <c r="N192" s="4" t="s">
        <v>26</v>
      </c>
      <c r="O192" s="41"/>
      <c r="P192">
        <v>1</v>
      </c>
      <c r="Q192" t="s">
        <v>173</v>
      </c>
    </row>
    <row r="193" spans="1:17" x14ac:dyDescent="0.35">
      <c r="A193" s="4">
        <v>1633</v>
      </c>
      <c r="B193" s="5">
        <v>33387</v>
      </c>
      <c r="C193" s="5">
        <v>43983</v>
      </c>
      <c r="D193" s="4">
        <v>29</v>
      </c>
      <c r="E193" s="6" t="str" cm="1">
        <f t="array" ref="E193">_xlfn.IFS(D193&lt;=5,"Newcomer",AND(D193&gt;=6,D193&lt;=10),"Proficient",D193&gt;10,"Expert")</f>
        <v>Expert</v>
      </c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 t="str" cm="1">
        <f t="array" ref="M193">_xlfn.IFS(L193="Retirement","Voluntary",L193="Resignation","Voluntary",L193="Layoff","InVoluntary")</f>
        <v>Voluntary</v>
      </c>
      <c r="N193" s="4" t="s">
        <v>26</v>
      </c>
      <c r="O193" s="41"/>
      <c r="P193">
        <v>1</v>
      </c>
      <c r="Q193" t="s">
        <v>173</v>
      </c>
    </row>
    <row r="194" spans="1:17" x14ac:dyDescent="0.35">
      <c r="A194" s="4">
        <v>1634</v>
      </c>
      <c r="B194" s="5">
        <v>36802</v>
      </c>
      <c r="C194" s="5">
        <v>44187</v>
      </c>
      <c r="D194" s="4">
        <v>20</v>
      </c>
      <c r="E194" s="6" t="str" cm="1">
        <f t="array" ref="E194">_xlfn.IFS(D194&lt;=5,"Newcomer",AND(D194&gt;=6,D194&lt;=10),"Proficient",D194&gt;10,"Expert")</f>
        <v>Expert</v>
      </c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 t="str" cm="1">
        <f t="array" ref="M194">_xlfn.IFS(L194="Retirement","Voluntary",L194="Resignation","Voluntary",L194="Layoff","InVoluntary")</f>
        <v>Voluntary</v>
      </c>
      <c r="N194" s="4" t="s">
        <v>26</v>
      </c>
      <c r="O194" s="41"/>
      <c r="P194">
        <v>1</v>
      </c>
      <c r="Q194" t="s">
        <v>173</v>
      </c>
    </row>
    <row r="195" spans="1:17" x14ac:dyDescent="0.35">
      <c r="A195" s="4">
        <v>1636</v>
      </c>
      <c r="B195" s="5">
        <v>38492</v>
      </c>
      <c r="C195" s="5">
        <v>44097</v>
      </c>
      <c r="D195" s="4">
        <v>15</v>
      </c>
      <c r="E195" s="6" t="str" cm="1">
        <f t="array" ref="E195">_xlfn.IFS(D195&lt;=5,"Newcomer",AND(D195&gt;=6,D195&lt;=10),"Proficient",D195&gt;10,"Expert")</f>
        <v>Expert</v>
      </c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 t="str" cm="1">
        <f t="array" ref="M195">_xlfn.IFS(L195="Retirement","Voluntary",L195="Resignation","Voluntary",L195="Layoff","InVoluntary")</f>
        <v>Voluntary</v>
      </c>
      <c r="N195" s="4" t="s">
        <v>26</v>
      </c>
      <c r="O195" s="41"/>
      <c r="P195">
        <v>1</v>
      </c>
      <c r="Q195" t="s">
        <v>173</v>
      </c>
    </row>
    <row r="196" spans="1:17" x14ac:dyDescent="0.35">
      <c r="A196" s="4">
        <v>1638</v>
      </c>
      <c r="B196" s="5">
        <v>34834</v>
      </c>
      <c r="C196" s="5">
        <v>44144</v>
      </c>
      <c r="D196" s="4">
        <v>25</v>
      </c>
      <c r="E196" s="6" t="str" cm="1">
        <f t="array" ref="E196">_xlfn.IFS(D196&lt;=5,"Newcomer",AND(D196&gt;=6,D196&lt;=10),"Proficient",D196&gt;10,"Expert")</f>
        <v>Expert</v>
      </c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 t="str" cm="1">
        <f t="array" ref="M196">_xlfn.IFS(L196="Retirement","Voluntary",L196="Resignation","Voluntary",L196="Layoff","InVoluntary")</f>
        <v>Voluntary</v>
      </c>
      <c r="N196" s="4" t="s">
        <v>26</v>
      </c>
      <c r="O196" s="41"/>
      <c r="P196">
        <v>1</v>
      </c>
      <c r="Q196" t="s">
        <v>173</v>
      </c>
    </row>
    <row r="197" spans="1:17" x14ac:dyDescent="0.35">
      <c r="A197" s="4">
        <v>1640</v>
      </c>
      <c r="B197" s="5">
        <v>41397</v>
      </c>
      <c r="C197" s="5">
        <v>44131</v>
      </c>
      <c r="D197" s="4">
        <v>7</v>
      </c>
      <c r="E197" s="6" t="str" cm="1">
        <f t="array" ref="E197">_xlfn.IFS(D197&lt;=5,"Newcomer",AND(D197&gt;=6,D197&lt;=10),"Proficient",D197&gt;10,"Expert")</f>
        <v>Proficient</v>
      </c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 t="str" cm="1">
        <f t="array" ref="M197">_xlfn.IFS(L197="Retirement","Voluntary",L197="Resignation","Voluntary",L197="Layoff","InVoluntary")</f>
        <v>Voluntary</v>
      </c>
      <c r="N197" s="4" t="s">
        <v>26</v>
      </c>
      <c r="O197" s="41"/>
      <c r="P197">
        <v>1</v>
      </c>
      <c r="Q197" t="s">
        <v>173</v>
      </c>
    </row>
    <row r="198" spans="1:17" x14ac:dyDescent="0.35">
      <c r="A198" s="4">
        <v>1642</v>
      </c>
      <c r="B198" s="5">
        <v>35705</v>
      </c>
      <c r="C198" s="5">
        <v>43846</v>
      </c>
      <c r="D198" s="4">
        <v>23</v>
      </c>
      <c r="E198" s="6" t="str" cm="1">
        <f t="array" ref="E198">_xlfn.IFS(D198&lt;=5,"Newcomer",AND(D198&gt;=6,D198&lt;=10),"Proficient",D198&gt;10,"Expert")</f>
        <v>Expert</v>
      </c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 t="str" cm="1">
        <f t="array" ref="M198">_xlfn.IFS(L198="Retirement","Voluntary",L198="Resignation","Voluntary",L198="Layoff","InVoluntary")</f>
        <v>Voluntary</v>
      </c>
      <c r="N198" s="4" t="s">
        <v>26</v>
      </c>
      <c r="O198" s="41"/>
      <c r="P198">
        <v>1</v>
      </c>
      <c r="Q198" t="s">
        <v>173</v>
      </c>
    </row>
    <row r="199" spans="1:17" x14ac:dyDescent="0.35">
      <c r="A199" s="4">
        <v>1643</v>
      </c>
      <c r="B199" s="5">
        <v>34155</v>
      </c>
      <c r="C199" s="5">
        <v>44020</v>
      </c>
      <c r="D199" s="4">
        <v>27</v>
      </c>
      <c r="E199" s="6" t="str" cm="1">
        <f t="array" ref="E199">_xlfn.IFS(D199&lt;=5,"Newcomer",AND(D199&gt;=6,D199&lt;=10),"Proficient",D199&gt;10,"Expert")</f>
        <v>Expert</v>
      </c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 t="str" cm="1">
        <f t="array" ref="M199">_xlfn.IFS(L199="Retirement","Voluntary",L199="Resignation","Voluntary",L199="Layoff","InVoluntary")</f>
        <v>Voluntary</v>
      </c>
      <c r="N199" s="4" t="s">
        <v>26</v>
      </c>
      <c r="O199" s="41"/>
      <c r="P199">
        <v>1</v>
      </c>
      <c r="Q199" t="s">
        <v>173</v>
      </c>
    </row>
    <row r="200" spans="1:17" x14ac:dyDescent="0.35">
      <c r="A200" s="4">
        <v>1644</v>
      </c>
      <c r="B200" s="5">
        <v>39461</v>
      </c>
      <c r="C200" s="5">
        <v>44076</v>
      </c>
      <c r="D200" s="4">
        <v>12</v>
      </c>
      <c r="E200" s="6" t="str" cm="1">
        <f t="array" ref="E200">_xlfn.IFS(D200&lt;=5,"Newcomer",AND(D200&gt;=6,D200&lt;=10),"Proficient",D200&gt;10,"Expert")</f>
        <v>Expert</v>
      </c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 t="str" cm="1">
        <f t="array" ref="M200">_xlfn.IFS(L200="Retirement","Voluntary",L200="Resignation","Voluntary",L200="Layoff","InVoluntary")</f>
        <v>Voluntary</v>
      </c>
      <c r="N200" s="4" t="s">
        <v>26</v>
      </c>
      <c r="O200" s="41"/>
      <c r="P200">
        <v>1</v>
      </c>
      <c r="Q200" t="s">
        <v>173</v>
      </c>
    </row>
    <row r="201" spans="1:17" x14ac:dyDescent="0.35">
      <c r="A201" s="4">
        <v>1645</v>
      </c>
      <c r="B201" s="5">
        <v>42172</v>
      </c>
      <c r="C201" s="5">
        <v>43846</v>
      </c>
      <c r="D201" s="4">
        <v>5</v>
      </c>
      <c r="E201" s="6" t="str" cm="1">
        <f t="array" ref="E201">_xlfn.IFS(D201&lt;=5,"Newcomer",AND(D201&gt;=6,D201&lt;=10),"Proficient",D201&gt;10,"Expert")</f>
        <v>Newcomer</v>
      </c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 t="str" cm="1">
        <f t="array" ref="M201">_xlfn.IFS(L201="Retirement","Voluntary",L201="Resignation","Voluntary",L201="Layoff","InVoluntary")</f>
        <v>Voluntary</v>
      </c>
      <c r="N201" s="4" t="s">
        <v>26</v>
      </c>
      <c r="O201" s="41"/>
      <c r="P201">
        <v>1</v>
      </c>
      <c r="Q201" t="s">
        <v>173</v>
      </c>
    </row>
    <row r="202" spans="1:17" x14ac:dyDescent="0.35">
      <c r="A202" s="4">
        <v>1647</v>
      </c>
      <c r="B202" s="5">
        <v>34403</v>
      </c>
      <c r="C202" s="5">
        <v>44137</v>
      </c>
      <c r="D202" s="4">
        <v>26</v>
      </c>
      <c r="E202" s="6" t="str" cm="1">
        <f t="array" ref="E202">_xlfn.IFS(D202&lt;=5,"Newcomer",AND(D202&gt;=6,D202&lt;=10),"Proficient",D202&gt;10,"Expert")</f>
        <v>Expert</v>
      </c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 t="str" cm="1">
        <f t="array" ref="M202">_xlfn.IFS(L202="Retirement","Voluntary",L202="Resignation","Voluntary",L202="Layoff","InVoluntary")</f>
        <v>Voluntary</v>
      </c>
      <c r="N202" s="4" t="s">
        <v>26</v>
      </c>
      <c r="O202" s="41"/>
      <c r="P202">
        <v>1</v>
      </c>
      <c r="Q202" t="s">
        <v>173</v>
      </c>
    </row>
    <row r="203" spans="1:17" x14ac:dyDescent="0.35">
      <c r="A203" s="4">
        <v>1650</v>
      </c>
      <c r="B203" s="5">
        <v>38513</v>
      </c>
      <c r="C203" s="5">
        <v>43831</v>
      </c>
      <c r="D203" s="4">
        <v>15</v>
      </c>
      <c r="E203" s="6" t="str" cm="1">
        <f t="array" ref="E203">_xlfn.IFS(D203&lt;=5,"Newcomer",AND(D203&gt;=6,D203&lt;=10),"Proficient",D203&gt;10,"Expert")</f>
        <v>Expert</v>
      </c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 t="str" cm="1">
        <f t="array" ref="M203">_xlfn.IFS(L203="Retirement","Voluntary",L203="Resignation","Voluntary",L203="Layoff","InVoluntary")</f>
        <v>Voluntary</v>
      </c>
      <c r="N203" s="4" t="s">
        <v>26</v>
      </c>
      <c r="O203" s="41"/>
      <c r="P203">
        <v>1</v>
      </c>
      <c r="Q203" t="s">
        <v>173</v>
      </c>
    </row>
    <row r="204" spans="1:17" x14ac:dyDescent="0.35">
      <c r="A204" s="4">
        <v>1651</v>
      </c>
      <c r="B204" s="5">
        <v>33478</v>
      </c>
      <c r="C204" s="5">
        <v>43858</v>
      </c>
      <c r="D204" s="4">
        <v>29</v>
      </c>
      <c r="E204" s="6" t="str" cm="1">
        <f t="array" ref="E204">_xlfn.IFS(D204&lt;=5,"Newcomer",AND(D204&gt;=6,D204&lt;=10),"Proficient",D204&gt;10,"Expert")</f>
        <v>Expert</v>
      </c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 t="str" cm="1">
        <f t="array" ref="M204">_xlfn.IFS(L204="Retirement","Voluntary",L204="Resignation","Voluntary",L204="Layoff","InVoluntary")</f>
        <v>Voluntary</v>
      </c>
      <c r="N204" s="4" t="s">
        <v>26</v>
      </c>
      <c r="O204" s="41"/>
      <c r="P204">
        <v>1</v>
      </c>
      <c r="Q204" t="s">
        <v>173</v>
      </c>
    </row>
    <row r="205" spans="1:17" x14ac:dyDescent="0.35">
      <c r="A205" s="4">
        <v>1652</v>
      </c>
      <c r="B205" s="5">
        <v>36882</v>
      </c>
      <c r="C205" s="5">
        <v>43933</v>
      </c>
      <c r="D205" s="4">
        <v>20</v>
      </c>
      <c r="E205" s="6" t="str" cm="1">
        <f t="array" ref="E205">_xlfn.IFS(D205&lt;=5,"Newcomer",AND(D205&gt;=6,D205&lt;=10),"Proficient",D205&gt;10,"Expert")</f>
        <v>Expert</v>
      </c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 t="str" cm="1">
        <f t="array" ref="M205">_xlfn.IFS(L205="Retirement","Voluntary",L205="Resignation","Voluntary",L205="Layoff","InVoluntary")</f>
        <v>Voluntary</v>
      </c>
      <c r="N205" s="4" t="s">
        <v>26</v>
      </c>
      <c r="O205" s="41"/>
      <c r="P205">
        <v>1</v>
      </c>
      <c r="Q205" t="s">
        <v>173</v>
      </c>
    </row>
    <row r="206" spans="1:17" x14ac:dyDescent="0.35">
      <c r="A206" s="4">
        <v>1653</v>
      </c>
      <c r="B206" s="5">
        <v>34764</v>
      </c>
      <c r="C206" s="5">
        <v>43866</v>
      </c>
      <c r="D206" s="4">
        <v>25</v>
      </c>
      <c r="E206" s="6" t="str" cm="1">
        <f t="array" ref="E206">_xlfn.IFS(D206&lt;=5,"Newcomer",AND(D206&gt;=6,D206&lt;=10),"Proficient",D206&gt;10,"Expert")</f>
        <v>Expert</v>
      </c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 t="str" cm="1">
        <f t="array" ref="M206">_xlfn.IFS(L206="Retirement","Voluntary",L206="Resignation","Voluntary",L206="Layoff","InVoluntary")</f>
        <v>Voluntary</v>
      </c>
      <c r="N206" s="4" t="s">
        <v>26</v>
      </c>
      <c r="O206" s="41"/>
      <c r="P206">
        <v>1</v>
      </c>
      <c r="Q206" t="s">
        <v>173</v>
      </c>
    </row>
    <row r="207" spans="1:17" x14ac:dyDescent="0.35">
      <c r="A207" s="4">
        <v>1655</v>
      </c>
      <c r="B207" s="5">
        <v>35391</v>
      </c>
      <c r="C207" s="5">
        <v>43871</v>
      </c>
      <c r="D207" s="4">
        <v>24</v>
      </c>
      <c r="E207" s="6" t="str" cm="1">
        <f t="array" ref="E207">_xlfn.IFS(D207&lt;=5,"Newcomer",AND(D207&gt;=6,D207&lt;=10),"Proficient",D207&gt;10,"Expert")</f>
        <v>Expert</v>
      </c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 t="str" cm="1">
        <f t="array" ref="M207">_xlfn.IFS(L207="Retirement","Voluntary",L207="Resignation","Voluntary",L207="Layoff","InVoluntary")</f>
        <v>Voluntary</v>
      </c>
      <c r="N207" s="4" t="s">
        <v>26</v>
      </c>
      <c r="O207" s="41"/>
      <c r="P207">
        <v>1</v>
      </c>
      <c r="Q207" t="s">
        <v>173</v>
      </c>
    </row>
    <row r="208" spans="1:17" x14ac:dyDescent="0.35">
      <c r="A208" s="4">
        <v>1656</v>
      </c>
      <c r="B208" s="5">
        <v>36493</v>
      </c>
      <c r="C208" s="5">
        <v>44135</v>
      </c>
      <c r="D208" s="4">
        <v>21</v>
      </c>
      <c r="E208" s="6" t="str" cm="1">
        <f t="array" ref="E208">_xlfn.IFS(D208&lt;=5,"Newcomer",AND(D208&gt;=6,D208&lt;=10),"Proficient",D208&gt;10,"Expert")</f>
        <v>Expert</v>
      </c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 t="str" cm="1">
        <f t="array" ref="M208">_xlfn.IFS(L208="Retirement","Voluntary",L208="Resignation","Voluntary",L208="Layoff","InVoluntary")</f>
        <v>Voluntary</v>
      </c>
      <c r="N208" s="4" t="s">
        <v>26</v>
      </c>
      <c r="O208" s="41"/>
      <c r="P208">
        <v>1</v>
      </c>
      <c r="Q208" t="s">
        <v>173</v>
      </c>
    </row>
    <row r="209" spans="1:17" x14ac:dyDescent="0.35">
      <c r="A209" s="4">
        <v>1658</v>
      </c>
      <c r="B209" s="5">
        <v>35048</v>
      </c>
      <c r="C209" s="5">
        <v>44050</v>
      </c>
      <c r="D209" s="4">
        <v>25</v>
      </c>
      <c r="E209" s="6" t="str" cm="1">
        <f t="array" ref="E209">_xlfn.IFS(D209&lt;=5,"Newcomer",AND(D209&gt;=6,D209&lt;=10),"Proficient",D209&gt;10,"Expert")</f>
        <v>Expert</v>
      </c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 t="str" cm="1">
        <f t="array" ref="M209">_xlfn.IFS(L209="Retirement","Voluntary",L209="Resignation","Voluntary",L209="Layoff","InVoluntary")</f>
        <v>Voluntary</v>
      </c>
      <c r="N209" s="4" t="s">
        <v>26</v>
      </c>
      <c r="O209" s="41"/>
      <c r="P209">
        <v>1</v>
      </c>
      <c r="Q209" t="s">
        <v>173</v>
      </c>
    </row>
    <row r="210" spans="1:17" x14ac:dyDescent="0.35">
      <c r="A210" s="4">
        <v>1662</v>
      </c>
      <c r="B210" s="5">
        <v>34144</v>
      </c>
      <c r="C210" s="5">
        <v>43896</v>
      </c>
      <c r="D210" s="4">
        <v>27</v>
      </c>
      <c r="E210" s="6" t="str" cm="1">
        <f t="array" ref="E210">_xlfn.IFS(D210&lt;=5,"Newcomer",AND(D210&gt;=6,D210&lt;=10),"Proficient",D210&gt;10,"Expert")</f>
        <v>Expert</v>
      </c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 t="str" cm="1">
        <f t="array" ref="M210">_xlfn.IFS(L210="Retirement","Voluntary",L210="Resignation","Voluntary",L210="Layoff","InVoluntary")</f>
        <v>Voluntary</v>
      </c>
      <c r="N210" s="4" t="s">
        <v>26</v>
      </c>
      <c r="O210" s="41"/>
      <c r="P210">
        <v>1</v>
      </c>
      <c r="Q210" t="s">
        <v>173</v>
      </c>
    </row>
    <row r="211" spans="1:17" x14ac:dyDescent="0.35">
      <c r="A211" s="4">
        <v>1664</v>
      </c>
      <c r="B211" s="5">
        <v>36260</v>
      </c>
      <c r="C211" s="5">
        <v>43907</v>
      </c>
      <c r="D211" s="4">
        <v>21</v>
      </c>
      <c r="E211" s="6" t="str" cm="1">
        <f t="array" ref="E211">_xlfn.IFS(D211&lt;=5,"Newcomer",AND(D211&gt;=6,D211&lt;=10),"Proficient",D211&gt;10,"Expert")</f>
        <v>Expert</v>
      </c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 t="str" cm="1">
        <f t="array" ref="M211">_xlfn.IFS(L211="Retirement","Voluntary",L211="Resignation","Voluntary",L211="Layoff","InVoluntary")</f>
        <v>Voluntary</v>
      </c>
      <c r="N211" s="4" t="s">
        <v>26</v>
      </c>
      <c r="O211" s="41"/>
      <c r="P211">
        <v>1</v>
      </c>
      <c r="Q211" t="s">
        <v>173</v>
      </c>
    </row>
    <row r="212" spans="1:17" x14ac:dyDescent="0.35">
      <c r="A212" s="4">
        <v>1668</v>
      </c>
      <c r="B212" s="5">
        <v>36592</v>
      </c>
      <c r="C212" s="5">
        <v>44070</v>
      </c>
      <c r="D212" s="4">
        <v>20</v>
      </c>
      <c r="E212" s="6" t="str" cm="1">
        <f t="array" ref="E212">_xlfn.IFS(D212&lt;=5,"Newcomer",AND(D212&gt;=6,D212&lt;=10),"Proficient",D212&gt;10,"Expert")</f>
        <v>Expert</v>
      </c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 t="str" cm="1">
        <f t="array" ref="M212">_xlfn.IFS(L212="Retirement","Voluntary",L212="Resignation","Voluntary",L212="Layoff","InVoluntary")</f>
        <v>Voluntary</v>
      </c>
      <c r="N212" s="4" t="s">
        <v>26</v>
      </c>
      <c r="O212" s="41"/>
      <c r="P212">
        <v>1</v>
      </c>
      <c r="Q212" t="s">
        <v>173</v>
      </c>
    </row>
    <row r="213" spans="1:17" x14ac:dyDescent="0.35">
      <c r="A213" s="4">
        <v>1670</v>
      </c>
      <c r="B213" s="5">
        <v>38404</v>
      </c>
      <c r="C213" s="5">
        <v>44181</v>
      </c>
      <c r="D213" s="4">
        <v>15</v>
      </c>
      <c r="E213" s="6" t="str" cm="1">
        <f t="array" ref="E213">_xlfn.IFS(D213&lt;=5,"Newcomer",AND(D213&gt;=6,D213&lt;=10),"Proficient",D213&gt;10,"Expert")</f>
        <v>Expert</v>
      </c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 t="str" cm="1">
        <f t="array" ref="M213">_xlfn.IFS(L213="Retirement","Voluntary",L213="Resignation","Voluntary",L213="Layoff","InVoluntary")</f>
        <v>Voluntary</v>
      </c>
      <c r="N213" s="4" t="s">
        <v>26</v>
      </c>
      <c r="O213" s="41"/>
      <c r="P213">
        <v>1</v>
      </c>
      <c r="Q213" t="s">
        <v>173</v>
      </c>
    </row>
    <row r="214" spans="1:17" x14ac:dyDescent="0.35">
      <c r="A214" s="4">
        <v>1671</v>
      </c>
      <c r="B214" s="5">
        <v>35597</v>
      </c>
      <c r="C214" s="5">
        <v>44148</v>
      </c>
      <c r="D214" s="4">
        <v>23</v>
      </c>
      <c r="E214" s="6" t="str" cm="1">
        <f t="array" ref="E214">_xlfn.IFS(D214&lt;=5,"Newcomer",AND(D214&gt;=6,D214&lt;=10),"Proficient",D214&gt;10,"Expert")</f>
        <v>Expert</v>
      </c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 t="str" cm="1">
        <f t="array" ref="M214">_xlfn.IFS(L214="Retirement","Voluntary",L214="Resignation","Voluntary",L214="Layoff","InVoluntary")</f>
        <v>Voluntary</v>
      </c>
      <c r="N214" s="4" t="s">
        <v>26</v>
      </c>
      <c r="O214" s="41"/>
      <c r="P214">
        <v>1</v>
      </c>
      <c r="Q214" t="s">
        <v>173</v>
      </c>
    </row>
    <row r="215" spans="1:17" x14ac:dyDescent="0.35">
      <c r="A215" s="4">
        <v>1672</v>
      </c>
      <c r="B215" s="5">
        <v>34636</v>
      </c>
      <c r="C215" s="5">
        <v>43923</v>
      </c>
      <c r="D215" s="4">
        <v>26</v>
      </c>
      <c r="E215" s="6" t="str" cm="1">
        <f t="array" ref="E215">_xlfn.IFS(D215&lt;=5,"Newcomer",AND(D215&gt;=6,D215&lt;=10),"Proficient",D215&gt;10,"Expert")</f>
        <v>Expert</v>
      </c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 t="str" cm="1">
        <f t="array" ref="M215">_xlfn.IFS(L215="Retirement","Voluntary",L215="Resignation","Voluntary",L215="Layoff","InVoluntary")</f>
        <v>Voluntary</v>
      </c>
      <c r="N215" s="4" t="s">
        <v>26</v>
      </c>
      <c r="O215" s="41"/>
      <c r="P215">
        <v>1</v>
      </c>
      <c r="Q215" t="s">
        <v>173</v>
      </c>
    </row>
    <row r="216" spans="1:17" x14ac:dyDescent="0.35">
      <c r="A216" s="4">
        <v>1673</v>
      </c>
      <c r="B216" s="5">
        <v>37401</v>
      </c>
      <c r="C216" s="5">
        <v>43867</v>
      </c>
      <c r="D216" s="4">
        <v>18</v>
      </c>
      <c r="E216" s="6" t="str" cm="1">
        <f t="array" ref="E216">_xlfn.IFS(D216&lt;=5,"Newcomer",AND(D216&gt;=6,D216&lt;=10),"Proficient",D216&gt;10,"Expert")</f>
        <v>Expert</v>
      </c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 t="str" cm="1">
        <f t="array" ref="M216">_xlfn.IFS(L216="Retirement","Voluntary",L216="Resignation","Voluntary",L216="Layoff","InVoluntary")</f>
        <v>Voluntary</v>
      </c>
      <c r="N216" s="4" t="s">
        <v>26</v>
      </c>
      <c r="O216" s="41"/>
      <c r="P216">
        <v>1</v>
      </c>
      <c r="Q216" t="s">
        <v>173</v>
      </c>
    </row>
    <row r="217" spans="1:17" x14ac:dyDescent="0.35">
      <c r="A217" s="4">
        <v>1674</v>
      </c>
      <c r="B217" s="5">
        <v>33878</v>
      </c>
      <c r="C217" s="5">
        <v>44011</v>
      </c>
      <c r="D217" s="4">
        <v>28</v>
      </c>
      <c r="E217" s="6" t="str" cm="1">
        <f t="array" ref="E217">_xlfn.IFS(D217&lt;=5,"Newcomer",AND(D217&gt;=6,D217&lt;=10),"Proficient",D217&gt;10,"Expert")</f>
        <v>Expert</v>
      </c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 t="str" cm="1">
        <f t="array" ref="M217">_xlfn.IFS(L217="Retirement","Voluntary",L217="Resignation","Voluntary",L217="Layoff","InVoluntary")</f>
        <v>Voluntary</v>
      </c>
      <c r="N217" s="4" t="s">
        <v>26</v>
      </c>
      <c r="O217" s="41"/>
      <c r="P217">
        <v>1</v>
      </c>
      <c r="Q217" t="s">
        <v>173</v>
      </c>
    </row>
    <row r="218" spans="1:17" x14ac:dyDescent="0.35">
      <c r="A218" s="4">
        <v>1677</v>
      </c>
      <c r="B218" s="5">
        <v>35201</v>
      </c>
      <c r="C218" s="5">
        <v>43979</v>
      </c>
      <c r="D218" s="4">
        <v>24</v>
      </c>
      <c r="E218" s="6" t="str" cm="1">
        <f t="array" ref="E218">_xlfn.IFS(D218&lt;=5,"Newcomer",AND(D218&gt;=6,D218&lt;=10),"Proficient",D218&gt;10,"Expert")</f>
        <v>Expert</v>
      </c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 t="str" cm="1">
        <f t="array" ref="M218">_xlfn.IFS(L218="Retirement","Voluntary",L218="Resignation","Voluntary",L218="Layoff","InVoluntary")</f>
        <v>Voluntary</v>
      </c>
      <c r="N218" s="4" t="s">
        <v>26</v>
      </c>
      <c r="O218" s="41"/>
      <c r="P218">
        <v>1</v>
      </c>
      <c r="Q218" t="s">
        <v>173</v>
      </c>
    </row>
    <row r="219" spans="1:17" x14ac:dyDescent="0.35">
      <c r="A219" s="4">
        <v>1680</v>
      </c>
      <c r="B219" s="5">
        <v>41445</v>
      </c>
      <c r="C219" s="5">
        <v>44029</v>
      </c>
      <c r="D219" s="4">
        <v>7</v>
      </c>
      <c r="E219" s="6" t="str" cm="1">
        <f t="array" ref="E219">_xlfn.IFS(D219&lt;=5,"Newcomer",AND(D219&gt;=6,D219&lt;=10),"Proficient",D219&gt;10,"Expert")</f>
        <v>Proficient</v>
      </c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 t="str" cm="1">
        <f t="array" ref="M219">_xlfn.IFS(L219="Retirement","Voluntary",L219="Resignation","Voluntary",L219="Layoff","InVoluntary")</f>
        <v>Voluntary</v>
      </c>
      <c r="N219" s="4" t="s">
        <v>26</v>
      </c>
      <c r="O219" s="41"/>
      <c r="P219">
        <v>1</v>
      </c>
      <c r="Q219" t="s">
        <v>173</v>
      </c>
    </row>
    <row r="220" spans="1:17" x14ac:dyDescent="0.35">
      <c r="A220" s="4">
        <v>1683</v>
      </c>
      <c r="B220" s="5">
        <v>38571</v>
      </c>
      <c r="C220" s="5">
        <v>44057</v>
      </c>
      <c r="D220" s="4">
        <v>15</v>
      </c>
      <c r="E220" s="6" t="str" cm="1">
        <f t="array" ref="E220">_xlfn.IFS(D220&lt;=5,"Newcomer",AND(D220&gt;=6,D220&lt;=10),"Proficient",D220&gt;10,"Expert")</f>
        <v>Expert</v>
      </c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 t="str" cm="1">
        <f t="array" ref="M220">_xlfn.IFS(L220="Retirement","Voluntary",L220="Resignation","Voluntary",L220="Layoff","InVoluntary")</f>
        <v>Voluntary</v>
      </c>
      <c r="N220" s="4" t="s">
        <v>26</v>
      </c>
      <c r="O220" s="41"/>
      <c r="P220">
        <v>1</v>
      </c>
      <c r="Q220" t="s">
        <v>173</v>
      </c>
    </row>
    <row r="221" spans="1:17" x14ac:dyDescent="0.35">
      <c r="A221" s="4">
        <v>1684</v>
      </c>
      <c r="B221" s="5">
        <v>34615</v>
      </c>
      <c r="C221" s="5">
        <v>43856</v>
      </c>
      <c r="D221" s="4">
        <v>26</v>
      </c>
      <c r="E221" s="6" t="str" cm="1">
        <f t="array" ref="E221">_xlfn.IFS(D221&lt;=5,"Newcomer",AND(D221&gt;=6,D221&lt;=10),"Proficient",D221&gt;10,"Expert")</f>
        <v>Expert</v>
      </c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 t="str" cm="1">
        <f t="array" ref="M221">_xlfn.IFS(L221="Retirement","Voluntary",L221="Resignation","Voluntary",L221="Layoff","InVoluntary")</f>
        <v>Voluntary</v>
      </c>
      <c r="N221" s="4" t="s">
        <v>26</v>
      </c>
      <c r="O221" s="41"/>
      <c r="P221">
        <v>1</v>
      </c>
      <c r="Q221" t="s">
        <v>173</v>
      </c>
    </row>
    <row r="222" spans="1:17" x14ac:dyDescent="0.35">
      <c r="A222" s="4">
        <v>1687</v>
      </c>
      <c r="B222" s="5">
        <v>34116</v>
      </c>
      <c r="C222" s="5">
        <v>44183</v>
      </c>
      <c r="D222" s="4">
        <v>27</v>
      </c>
      <c r="E222" s="6" t="str" cm="1">
        <f t="array" ref="E222">_xlfn.IFS(D222&lt;=5,"Newcomer",AND(D222&gt;=6,D222&lt;=10),"Proficient",D222&gt;10,"Expert")</f>
        <v>Expert</v>
      </c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 t="str" cm="1">
        <f t="array" ref="M222">_xlfn.IFS(L222="Retirement","Voluntary",L222="Resignation","Voluntary",L222="Layoff","InVoluntary")</f>
        <v>Voluntary</v>
      </c>
      <c r="N222" s="4" t="s">
        <v>26</v>
      </c>
      <c r="O222" s="41"/>
      <c r="P222">
        <v>1</v>
      </c>
      <c r="Q222" t="s">
        <v>173</v>
      </c>
    </row>
    <row r="223" spans="1:17" x14ac:dyDescent="0.35">
      <c r="A223" s="4">
        <v>1690</v>
      </c>
      <c r="B223" s="5">
        <v>41991</v>
      </c>
      <c r="C223" s="5">
        <v>43834</v>
      </c>
      <c r="D223" s="4">
        <v>6</v>
      </c>
      <c r="E223" s="6" t="str" cm="1">
        <f t="array" ref="E223">_xlfn.IFS(D223&lt;=5,"Newcomer",AND(D223&gt;=6,D223&lt;=10),"Proficient",D223&gt;10,"Expert")</f>
        <v>Proficient</v>
      </c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 t="str" cm="1">
        <f t="array" ref="M223">_xlfn.IFS(L223="Retirement","Voluntary",L223="Resignation","Voluntary",L223="Layoff","InVoluntary")</f>
        <v>Voluntary</v>
      </c>
      <c r="N223" s="4" t="s">
        <v>26</v>
      </c>
      <c r="O223" s="41"/>
      <c r="P223">
        <v>1</v>
      </c>
      <c r="Q223" t="s">
        <v>173</v>
      </c>
    </row>
    <row r="224" spans="1:17" x14ac:dyDescent="0.35">
      <c r="A224" s="4">
        <v>1691</v>
      </c>
      <c r="B224" s="5">
        <v>37840</v>
      </c>
      <c r="C224" s="5">
        <v>43850</v>
      </c>
      <c r="D224" s="4">
        <v>17</v>
      </c>
      <c r="E224" s="6" t="str" cm="1">
        <f t="array" ref="E224">_xlfn.IFS(D224&lt;=5,"Newcomer",AND(D224&gt;=6,D224&lt;=10),"Proficient",D224&gt;10,"Expert")</f>
        <v>Expert</v>
      </c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 t="str" cm="1">
        <f t="array" ref="M224">_xlfn.IFS(L224="Retirement","Voluntary",L224="Resignation","Voluntary",L224="Layoff","InVoluntary")</f>
        <v>Voluntary</v>
      </c>
      <c r="N224" s="4" t="s">
        <v>26</v>
      </c>
      <c r="O224" s="41"/>
      <c r="P224">
        <v>1</v>
      </c>
      <c r="Q224" t="s">
        <v>173</v>
      </c>
    </row>
    <row r="225" spans="1:17" x14ac:dyDescent="0.35">
      <c r="A225" s="4">
        <v>1693</v>
      </c>
      <c r="B225" s="5">
        <v>38295</v>
      </c>
      <c r="C225" s="5">
        <v>43910</v>
      </c>
      <c r="D225" s="4">
        <v>16</v>
      </c>
      <c r="E225" s="6" t="str" cm="1">
        <f t="array" ref="E225">_xlfn.IFS(D225&lt;=5,"Newcomer",AND(D225&gt;=6,D225&lt;=10),"Proficient",D225&gt;10,"Expert")</f>
        <v>Expert</v>
      </c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 t="str" cm="1">
        <f t="array" ref="M225">_xlfn.IFS(L225="Retirement","Voluntary",L225="Resignation","Voluntary",L225="Layoff","InVoluntary")</f>
        <v>Voluntary</v>
      </c>
      <c r="N225" s="4" t="s">
        <v>26</v>
      </c>
      <c r="O225" s="41"/>
      <c r="P225">
        <v>1</v>
      </c>
      <c r="Q225" t="s">
        <v>173</v>
      </c>
    </row>
    <row r="226" spans="1:17" x14ac:dyDescent="0.35">
      <c r="A226" s="4">
        <v>1695</v>
      </c>
      <c r="B226" s="5">
        <v>41072</v>
      </c>
      <c r="C226" s="5">
        <v>43928</v>
      </c>
      <c r="D226" s="4">
        <v>8</v>
      </c>
      <c r="E226" s="6" t="str" cm="1">
        <f t="array" ref="E226">_xlfn.IFS(D226&lt;=5,"Newcomer",AND(D226&gt;=6,D226&lt;=10),"Proficient",D226&gt;10,"Expert")</f>
        <v>Proficient</v>
      </c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 t="str" cm="1">
        <f t="array" ref="M226">_xlfn.IFS(L226="Retirement","Voluntary",L226="Resignation","Voluntary",L226="Layoff","InVoluntary")</f>
        <v>Voluntary</v>
      </c>
      <c r="N226" s="4" t="s">
        <v>26</v>
      </c>
      <c r="O226" s="41"/>
      <c r="P226">
        <v>1</v>
      </c>
      <c r="Q226" t="s">
        <v>173</v>
      </c>
    </row>
    <row r="227" spans="1:17" x14ac:dyDescent="0.35">
      <c r="A227" s="4">
        <v>1700</v>
      </c>
      <c r="B227" s="5">
        <v>38473</v>
      </c>
      <c r="C227" s="5">
        <v>43888</v>
      </c>
      <c r="D227" s="4">
        <v>15</v>
      </c>
      <c r="E227" s="6" t="str" cm="1">
        <f t="array" ref="E227">_xlfn.IFS(D227&lt;=5,"Newcomer",AND(D227&gt;=6,D227&lt;=10),"Proficient",D227&gt;10,"Expert")</f>
        <v>Expert</v>
      </c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 t="str" cm="1">
        <f t="array" ref="M227">_xlfn.IFS(L227="Retirement","Voluntary",L227="Resignation","Voluntary",L227="Layoff","InVoluntary")</f>
        <v>InVoluntary</v>
      </c>
      <c r="N227" s="4" t="s">
        <v>26</v>
      </c>
      <c r="O227" s="41"/>
      <c r="P227">
        <v>1</v>
      </c>
      <c r="Q227" t="s">
        <v>174</v>
      </c>
    </row>
    <row r="228" spans="1:17" x14ac:dyDescent="0.35">
      <c r="A228" s="4">
        <v>1711</v>
      </c>
      <c r="B228" s="5">
        <v>36161</v>
      </c>
      <c r="C228" s="5">
        <v>44168</v>
      </c>
      <c r="D228" s="4">
        <v>21</v>
      </c>
      <c r="E228" s="6" t="str" cm="1">
        <f t="array" ref="E228">_xlfn.IFS(D228&lt;=5,"Newcomer",AND(D228&gt;=6,D228&lt;=10),"Proficient",D228&gt;10,"Expert")</f>
        <v>Expert</v>
      </c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 t="str" cm="1">
        <f t="array" ref="M228">_xlfn.IFS(L228="Retirement","Voluntary",L228="Resignation","Voluntary",L228="Layoff","InVoluntary")</f>
        <v>InVoluntary</v>
      </c>
      <c r="N228" s="4" t="s">
        <v>26</v>
      </c>
      <c r="O228" s="41"/>
      <c r="P228">
        <v>1</v>
      </c>
      <c r="Q228" t="s">
        <v>174</v>
      </c>
    </row>
    <row r="229" spans="1:17" x14ac:dyDescent="0.35">
      <c r="A229" s="4">
        <v>1714</v>
      </c>
      <c r="B229" s="5">
        <v>34905</v>
      </c>
      <c r="C229" s="5">
        <v>44097</v>
      </c>
      <c r="D229" s="4">
        <v>25</v>
      </c>
      <c r="E229" s="6" t="str" cm="1">
        <f t="array" ref="E229">_xlfn.IFS(D229&lt;=5,"Newcomer",AND(D229&gt;=6,D229&lt;=10),"Proficient",D229&gt;10,"Expert")</f>
        <v>Expert</v>
      </c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 t="str" cm="1">
        <f t="array" ref="M229">_xlfn.IFS(L229="Retirement","Voluntary",L229="Resignation","Voluntary",L229="Layoff","InVoluntary")</f>
        <v>Voluntary</v>
      </c>
      <c r="N229" s="4" t="s">
        <v>26</v>
      </c>
      <c r="O229" s="41"/>
      <c r="P229">
        <v>1</v>
      </c>
      <c r="Q229" t="s">
        <v>173</v>
      </c>
    </row>
    <row r="230" spans="1:17" x14ac:dyDescent="0.35">
      <c r="A230" s="4">
        <v>1722</v>
      </c>
      <c r="B230" s="5">
        <v>39915</v>
      </c>
      <c r="C230" s="5">
        <v>43989</v>
      </c>
      <c r="D230" s="4">
        <v>11</v>
      </c>
      <c r="E230" s="6" t="str" cm="1">
        <f t="array" ref="E230">_xlfn.IFS(D230&lt;=5,"Newcomer",AND(D230&gt;=6,D230&lt;=10),"Proficient",D230&gt;10,"Expert")</f>
        <v>Expert</v>
      </c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 t="str" cm="1">
        <f t="array" ref="M230">_xlfn.IFS(L230="Retirement","Voluntary",L230="Resignation","Voluntary",L230="Layoff","InVoluntary")</f>
        <v>InVoluntary</v>
      </c>
      <c r="N230" s="4" t="s">
        <v>26</v>
      </c>
      <c r="O230" s="41"/>
      <c r="P230">
        <v>1</v>
      </c>
      <c r="Q230" t="s">
        <v>174</v>
      </c>
    </row>
    <row r="231" spans="1:17" x14ac:dyDescent="0.35">
      <c r="A231" s="4">
        <v>1730</v>
      </c>
      <c r="B231" s="5">
        <v>35275</v>
      </c>
      <c r="C231" s="5">
        <v>44124</v>
      </c>
      <c r="D231" s="4">
        <v>24</v>
      </c>
      <c r="E231" s="6" t="str" cm="1">
        <f t="array" ref="E231">_xlfn.IFS(D231&lt;=5,"Newcomer",AND(D231&gt;=6,D231&lt;=10),"Proficient",D231&gt;10,"Expert")</f>
        <v>Expert</v>
      </c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 t="str" cm="1">
        <f t="array" ref="M231">_xlfn.IFS(L231="Retirement","Voluntary",L231="Resignation","Voluntary",L231="Layoff","InVoluntary")</f>
        <v>InVoluntary</v>
      </c>
      <c r="N231" s="4" t="s">
        <v>26</v>
      </c>
      <c r="O231" s="41"/>
      <c r="P231">
        <v>1</v>
      </c>
      <c r="Q231" t="s">
        <v>174</v>
      </c>
    </row>
    <row r="232" spans="1:17" x14ac:dyDescent="0.35">
      <c r="A232" s="4">
        <v>1742</v>
      </c>
      <c r="B232" s="5">
        <v>37596</v>
      </c>
      <c r="C232" s="5">
        <v>44019</v>
      </c>
      <c r="D232" s="4">
        <v>18</v>
      </c>
      <c r="E232" s="6" t="str" cm="1">
        <f t="array" ref="E232">_xlfn.IFS(D232&lt;=5,"Newcomer",AND(D232&gt;=6,D232&lt;=10),"Proficient",D232&gt;10,"Expert")</f>
        <v>Expert</v>
      </c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 t="str" cm="1">
        <f t="array" ref="M232">_xlfn.IFS(L232="Retirement","Voluntary",L232="Resignation","Voluntary",L232="Layoff","InVoluntary")</f>
        <v>InVoluntary</v>
      </c>
      <c r="N232" s="4" t="s">
        <v>26</v>
      </c>
      <c r="O232" s="41"/>
      <c r="P232">
        <v>1</v>
      </c>
      <c r="Q232" t="s">
        <v>174</v>
      </c>
    </row>
    <row r="233" spans="1:17" x14ac:dyDescent="0.35">
      <c r="A233" s="4">
        <v>1780</v>
      </c>
      <c r="B233" s="5">
        <v>37876</v>
      </c>
      <c r="C233" s="5">
        <v>43832</v>
      </c>
      <c r="D233" s="4">
        <v>17</v>
      </c>
      <c r="E233" s="6" t="str" cm="1">
        <f t="array" ref="E233">_xlfn.IFS(D233&lt;=5,"Newcomer",AND(D233&gt;=6,D233&lt;=10),"Proficient",D233&gt;10,"Expert")</f>
        <v>Expert</v>
      </c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 t="str" cm="1">
        <f t="array" ref="M233">_xlfn.IFS(L233="Retirement","Voluntary",L233="Resignation","Voluntary",L233="Layoff","InVoluntary")</f>
        <v>InVoluntary</v>
      </c>
      <c r="N233" s="4" t="s">
        <v>26</v>
      </c>
      <c r="O233" s="41"/>
      <c r="P233">
        <v>1</v>
      </c>
      <c r="Q233" t="s">
        <v>174</v>
      </c>
    </row>
    <row r="234" spans="1:17" x14ac:dyDescent="0.35">
      <c r="A234" s="4">
        <v>1781</v>
      </c>
      <c r="B234" s="5">
        <v>36359</v>
      </c>
      <c r="C234" s="5">
        <v>44123</v>
      </c>
      <c r="D234" s="4">
        <v>21</v>
      </c>
      <c r="E234" s="6" t="str" cm="1">
        <f t="array" ref="E234">_xlfn.IFS(D234&lt;=5,"Newcomer",AND(D234&gt;=6,D234&lt;=10),"Proficient",D234&gt;10,"Expert")</f>
        <v>Expert</v>
      </c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 t="str" cm="1">
        <f t="array" ref="M234">_xlfn.IFS(L234="Retirement","Voluntary",L234="Resignation","Voluntary",L234="Layoff","InVoluntary")</f>
        <v>InVoluntary</v>
      </c>
      <c r="N234" s="4" t="s">
        <v>26</v>
      </c>
      <c r="O234" s="41"/>
      <c r="P234">
        <v>1</v>
      </c>
      <c r="Q234" t="s">
        <v>174</v>
      </c>
    </row>
    <row r="235" spans="1:17" x14ac:dyDescent="0.35">
      <c r="A235" s="4">
        <v>1783</v>
      </c>
      <c r="B235" s="5">
        <v>39854</v>
      </c>
      <c r="C235" s="5">
        <v>43885</v>
      </c>
      <c r="D235" s="4">
        <v>11</v>
      </c>
      <c r="E235" s="6" t="str" cm="1">
        <f t="array" ref="E235">_xlfn.IFS(D235&lt;=5,"Newcomer",AND(D235&gt;=6,D235&lt;=10),"Proficient",D235&gt;10,"Expert")</f>
        <v>Expert</v>
      </c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 t="str" cm="1">
        <f t="array" ref="M235">_xlfn.IFS(L235="Retirement","Voluntary",L235="Resignation","Voluntary",L235="Layoff","InVoluntary")</f>
        <v>InVoluntary</v>
      </c>
      <c r="N235" s="4" t="s">
        <v>26</v>
      </c>
      <c r="O235" s="41"/>
      <c r="P235">
        <v>1</v>
      </c>
      <c r="Q235" t="s">
        <v>174</v>
      </c>
    </row>
    <row r="236" spans="1:17" x14ac:dyDescent="0.35">
      <c r="A236" s="4">
        <v>1784</v>
      </c>
      <c r="B236" s="5">
        <v>33193</v>
      </c>
      <c r="C236" s="5">
        <v>43903</v>
      </c>
      <c r="D236" s="4">
        <v>30</v>
      </c>
      <c r="E236" s="6" t="str" cm="1">
        <f t="array" ref="E236">_xlfn.IFS(D236&lt;=5,"Newcomer",AND(D236&gt;=6,D236&lt;=10),"Proficient",D236&gt;10,"Expert")</f>
        <v>Expert</v>
      </c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 t="str" cm="1">
        <f t="array" ref="M236">_xlfn.IFS(L236="Retirement","Voluntary",L236="Resignation","Voluntary",L236="Layoff","InVoluntary")</f>
        <v>InVoluntary</v>
      </c>
      <c r="N236" s="4" t="s">
        <v>26</v>
      </c>
      <c r="O236" s="41"/>
      <c r="P236">
        <v>1</v>
      </c>
      <c r="Q236" t="s">
        <v>174</v>
      </c>
    </row>
    <row r="237" spans="1:17" x14ac:dyDescent="0.35">
      <c r="A237" s="4">
        <v>1787</v>
      </c>
      <c r="B237" s="5">
        <v>39387</v>
      </c>
      <c r="C237" s="5">
        <v>44171</v>
      </c>
      <c r="D237" s="4">
        <v>13</v>
      </c>
      <c r="E237" s="6" t="str" cm="1">
        <f t="array" ref="E237">_xlfn.IFS(D237&lt;=5,"Newcomer",AND(D237&gt;=6,D237&lt;=10),"Proficient",D237&gt;10,"Expert")</f>
        <v>Expert</v>
      </c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 t="str" cm="1">
        <f t="array" ref="M237">_xlfn.IFS(L237="Retirement","Voluntary",L237="Resignation","Voluntary",L237="Layoff","InVoluntary")</f>
        <v>InVoluntary</v>
      </c>
      <c r="N237" s="4" t="s">
        <v>26</v>
      </c>
      <c r="O237" s="41"/>
      <c r="P237">
        <v>1</v>
      </c>
      <c r="Q237" t="s">
        <v>174</v>
      </c>
    </row>
    <row r="238" spans="1:17" x14ac:dyDescent="0.35">
      <c r="A238" s="4">
        <v>1788</v>
      </c>
      <c r="B238" s="5">
        <v>38800</v>
      </c>
      <c r="C238" s="5">
        <v>43986</v>
      </c>
      <c r="D238" s="4">
        <v>14</v>
      </c>
      <c r="E238" s="6" t="str" cm="1">
        <f t="array" ref="E238">_xlfn.IFS(D238&lt;=5,"Newcomer",AND(D238&gt;=6,D238&lt;=10),"Proficient",D238&gt;10,"Expert")</f>
        <v>Expert</v>
      </c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 t="str" cm="1">
        <f t="array" ref="M238">_xlfn.IFS(L238="Retirement","Voluntary",L238="Resignation","Voluntary",L238="Layoff","InVoluntary")</f>
        <v>InVoluntary</v>
      </c>
      <c r="N238" s="4" t="s">
        <v>26</v>
      </c>
      <c r="O238" s="41"/>
      <c r="P238">
        <v>1</v>
      </c>
      <c r="Q238" t="s">
        <v>174</v>
      </c>
    </row>
    <row r="239" spans="1:17" x14ac:dyDescent="0.35">
      <c r="A239" s="4">
        <v>1789</v>
      </c>
      <c r="B239" s="5">
        <v>33046</v>
      </c>
      <c r="C239" s="5">
        <v>44149</v>
      </c>
      <c r="D239" s="4">
        <v>30</v>
      </c>
      <c r="E239" s="6" t="str" cm="1">
        <f t="array" ref="E239">_xlfn.IFS(D239&lt;=5,"Newcomer",AND(D239&gt;=6,D239&lt;=10),"Proficient",D239&gt;10,"Expert")</f>
        <v>Expert</v>
      </c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 t="str" cm="1">
        <f t="array" ref="M239">_xlfn.IFS(L239="Retirement","Voluntary",L239="Resignation","Voluntary",L239="Layoff","InVoluntary")</f>
        <v>InVoluntary</v>
      </c>
      <c r="N239" s="4" t="s">
        <v>26</v>
      </c>
      <c r="O239" s="41"/>
      <c r="P239">
        <v>1</v>
      </c>
      <c r="Q239" t="s">
        <v>174</v>
      </c>
    </row>
    <row r="240" spans="1:17" x14ac:dyDescent="0.35">
      <c r="A240" s="4">
        <v>1792</v>
      </c>
      <c r="B240" s="5">
        <v>36796</v>
      </c>
      <c r="C240" s="5">
        <v>43978</v>
      </c>
      <c r="D240" s="4">
        <v>20</v>
      </c>
      <c r="E240" s="6" t="str" cm="1">
        <f t="array" ref="E240">_xlfn.IFS(D240&lt;=5,"Newcomer",AND(D240&gt;=6,D240&lt;=10),"Proficient",D240&gt;10,"Expert")</f>
        <v>Expert</v>
      </c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 t="str" cm="1">
        <f t="array" ref="M240">_xlfn.IFS(L240="Retirement","Voluntary",L240="Resignation","Voluntary",L240="Layoff","InVoluntary")</f>
        <v>InVoluntary</v>
      </c>
      <c r="N240" s="4" t="s">
        <v>26</v>
      </c>
      <c r="O240" s="41"/>
      <c r="P240">
        <v>1</v>
      </c>
      <c r="Q240" t="s">
        <v>174</v>
      </c>
    </row>
    <row r="241" spans="1:17" x14ac:dyDescent="0.35">
      <c r="A241" s="4">
        <v>1795</v>
      </c>
      <c r="B241" s="5">
        <v>34789</v>
      </c>
      <c r="C241" s="5">
        <v>44049</v>
      </c>
      <c r="D241" s="4">
        <v>25</v>
      </c>
      <c r="E241" s="6" t="str" cm="1">
        <f t="array" ref="E241">_xlfn.IFS(D241&lt;=5,"Newcomer",AND(D241&gt;=6,D241&lt;=10),"Proficient",D241&gt;10,"Expert")</f>
        <v>Expert</v>
      </c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 t="str" cm="1">
        <f t="array" ref="M241">_xlfn.IFS(L241="Retirement","Voluntary",L241="Resignation","Voluntary",L241="Layoff","InVoluntary")</f>
        <v>InVoluntary</v>
      </c>
      <c r="N241" s="4" t="s">
        <v>26</v>
      </c>
      <c r="O241" s="41"/>
      <c r="P241">
        <v>1</v>
      </c>
      <c r="Q241" t="s">
        <v>174</v>
      </c>
    </row>
    <row r="242" spans="1:17" x14ac:dyDescent="0.35">
      <c r="A242" s="4">
        <v>1799</v>
      </c>
      <c r="B242" s="5">
        <v>36725</v>
      </c>
      <c r="C242" s="5">
        <v>44108</v>
      </c>
      <c r="D242" s="4">
        <v>20</v>
      </c>
      <c r="E242" s="6" t="str" cm="1">
        <f t="array" ref="E242">_xlfn.IFS(D242&lt;=5,"Newcomer",AND(D242&gt;=6,D242&lt;=10),"Proficient",D242&gt;10,"Expert")</f>
        <v>Expert</v>
      </c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 t="str" cm="1">
        <f t="array" ref="M242">_xlfn.IFS(L242="Retirement","Voluntary",L242="Resignation","Voluntary",L242="Layoff","InVoluntary")</f>
        <v>InVoluntary</v>
      </c>
      <c r="N242" s="4" t="s">
        <v>26</v>
      </c>
      <c r="O242" s="41"/>
      <c r="P242">
        <v>1</v>
      </c>
      <c r="Q242" t="s">
        <v>174</v>
      </c>
    </row>
    <row r="243" spans="1:17" x14ac:dyDescent="0.35">
      <c r="A243" s="4">
        <v>1823</v>
      </c>
      <c r="B243" s="5">
        <v>41267</v>
      </c>
      <c r="C243" s="5">
        <v>44093</v>
      </c>
      <c r="D243" s="4">
        <v>8</v>
      </c>
      <c r="E243" s="6" t="str" cm="1">
        <f t="array" ref="E243">_xlfn.IFS(D243&lt;=5,"Newcomer",AND(D243&gt;=6,D243&lt;=10),"Proficient",D243&gt;10,"Expert")</f>
        <v>Proficient</v>
      </c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 t="str" cm="1">
        <f t="array" ref="M243">_xlfn.IFS(L243="Retirement","Voluntary",L243="Resignation","Voluntary",L243="Layoff","InVoluntary")</f>
        <v>Voluntary</v>
      </c>
      <c r="N243" s="4" t="s">
        <v>26</v>
      </c>
      <c r="O243" s="41"/>
      <c r="P243">
        <v>1</v>
      </c>
      <c r="Q243" t="s">
        <v>173</v>
      </c>
    </row>
    <row r="244" spans="1:17" x14ac:dyDescent="0.35">
      <c r="A244" s="4">
        <v>1859</v>
      </c>
      <c r="B244" s="5">
        <v>33408</v>
      </c>
      <c r="C244" s="5">
        <v>43836</v>
      </c>
      <c r="D244" s="4">
        <v>29</v>
      </c>
      <c r="E244" s="6" t="str" cm="1">
        <f t="array" ref="E244">_xlfn.IFS(D244&lt;=5,"Newcomer",AND(D244&gt;=6,D244&lt;=10),"Proficient",D244&gt;10,"Expert")</f>
        <v>Expert</v>
      </c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 t="str" cm="1">
        <f t="array" ref="M244">_xlfn.IFS(L244="Retirement","Voluntary",L244="Resignation","Voluntary",L244="Layoff","InVoluntary")</f>
        <v>InVoluntary</v>
      </c>
      <c r="N244" s="4" t="s">
        <v>26</v>
      </c>
      <c r="O244" s="41"/>
      <c r="P244">
        <v>1</v>
      </c>
      <c r="Q244" t="s">
        <v>174</v>
      </c>
    </row>
    <row r="245" spans="1:17" x14ac:dyDescent="0.35">
      <c r="A245" s="4">
        <v>1885</v>
      </c>
      <c r="B245" s="5">
        <v>34598</v>
      </c>
      <c r="C245" s="5">
        <v>43971</v>
      </c>
      <c r="D245" s="4">
        <v>26</v>
      </c>
      <c r="E245" s="6" t="str" cm="1">
        <f t="array" ref="E245">_xlfn.IFS(D245&lt;=5,"Newcomer",AND(D245&gt;=6,D245&lt;=10),"Proficient",D245&gt;10,"Expert")</f>
        <v>Expert</v>
      </c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 t="str" cm="1">
        <f t="array" ref="M245">_xlfn.IFS(L245="Retirement","Voluntary",L245="Resignation","Voluntary",L245="Layoff","InVoluntary")</f>
        <v>Voluntary</v>
      </c>
      <c r="N245" s="4" t="s">
        <v>26</v>
      </c>
      <c r="O245" s="41"/>
      <c r="P245">
        <v>1</v>
      </c>
      <c r="Q245" t="s">
        <v>173</v>
      </c>
    </row>
    <row r="246" spans="1:17" x14ac:dyDescent="0.35">
      <c r="A246" s="4">
        <v>1894</v>
      </c>
      <c r="B246" s="5">
        <v>39688</v>
      </c>
      <c r="C246" s="5">
        <v>43960</v>
      </c>
      <c r="D246" s="4">
        <v>12</v>
      </c>
      <c r="E246" s="6" t="str" cm="1">
        <f t="array" ref="E246">_xlfn.IFS(D246&lt;=5,"Newcomer",AND(D246&gt;=6,D246&lt;=10),"Proficient",D246&gt;10,"Expert")</f>
        <v>Expert</v>
      </c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 t="str" cm="1">
        <f t="array" ref="M246">_xlfn.IFS(L246="Retirement","Voluntary",L246="Resignation","Voluntary",L246="Layoff","InVoluntary")</f>
        <v>InVoluntary</v>
      </c>
      <c r="N246" s="4" t="s">
        <v>26</v>
      </c>
      <c r="O246" s="41"/>
      <c r="P246">
        <v>1</v>
      </c>
      <c r="Q246" t="s">
        <v>174</v>
      </c>
    </row>
    <row r="247" spans="1:17" x14ac:dyDescent="0.35">
      <c r="A247" s="4">
        <v>1920</v>
      </c>
      <c r="B247" s="5">
        <v>33301</v>
      </c>
      <c r="C247" s="5">
        <v>44090</v>
      </c>
      <c r="D247" s="4">
        <v>29</v>
      </c>
      <c r="E247" s="6" t="str" cm="1">
        <f t="array" ref="E247">_xlfn.IFS(D247&lt;=5,"Newcomer",AND(D247&gt;=6,D247&lt;=10),"Proficient",D247&gt;10,"Expert")</f>
        <v>Expert</v>
      </c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 t="str" cm="1">
        <f t="array" ref="M247">_xlfn.IFS(L247="Retirement","Voluntary",L247="Resignation","Voluntary",L247="Layoff","InVoluntary")</f>
        <v>InVoluntary</v>
      </c>
      <c r="N247" s="4" t="s">
        <v>26</v>
      </c>
      <c r="O247" s="41"/>
      <c r="P247">
        <v>1</v>
      </c>
      <c r="Q247" t="s">
        <v>174</v>
      </c>
    </row>
    <row r="248" spans="1:17" x14ac:dyDescent="0.35">
      <c r="A248" s="4">
        <v>1943</v>
      </c>
      <c r="B248" s="5">
        <v>38107</v>
      </c>
      <c r="C248" s="5">
        <v>44021</v>
      </c>
      <c r="D248" s="4">
        <v>16</v>
      </c>
      <c r="E248" s="6" t="str" cm="1">
        <f t="array" ref="E248">_xlfn.IFS(D248&lt;=5,"Newcomer",AND(D248&gt;=6,D248&lt;=10),"Proficient",D248&gt;10,"Expert")</f>
        <v>Expert</v>
      </c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 t="str" cm="1">
        <f t="array" ref="M248">_xlfn.IFS(L248="Retirement","Voluntary",L248="Resignation","Voluntary",L248="Layoff","InVoluntary")</f>
        <v>InVoluntary</v>
      </c>
      <c r="N248" s="4" t="s">
        <v>26</v>
      </c>
      <c r="O248" s="41"/>
      <c r="P248">
        <v>1</v>
      </c>
      <c r="Q248" t="s">
        <v>174</v>
      </c>
    </row>
    <row r="249" spans="1:17" x14ac:dyDescent="0.35">
      <c r="A249" s="4">
        <v>1951</v>
      </c>
      <c r="B249" s="5">
        <v>35847</v>
      </c>
      <c r="C249" s="5">
        <v>43999</v>
      </c>
      <c r="D249" s="4">
        <v>22</v>
      </c>
      <c r="E249" s="6" t="str" cm="1">
        <f t="array" ref="E249">_xlfn.IFS(D249&lt;=5,"Newcomer",AND(D249&gt;=6,D249&lt;=10),"Proficient",D249&gt;10,"Expert")</f>
        <v>Expert</v>
      </c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 t="str" cm="1">
        <f t="array" ref="M249">_xlfn.IFS(L249="Retirement","Voluntary",L249="Resignation","Voluntary",L249="Layoff","InVoluntary")</f>
        <v>Voluntary</v>
      </c>
      <c r="N249" s="4" t="s">
        <v>26</v>
      </c>
      <c r="O249" s="41"/>
      <c r="P249">
        <v>1</v>
      </c>
      <c r="Q249" t="s">
        <v>173</v>
      </c>
    </row>
    <row r="250" spans="1:17" x14ac:dyDescent="0.35">
      <c r="A250" s="4">
        <v>1998</v>
      </c>
      <c r="B250" s="5">
        <v>34811</v>
      </c>
      <c r="C250" s="5">
        <v>44031</v>
      </c>
      <c r="D250" s="4">
        <v>25</v>
      </c>
      <c r="E250" s="6" t="str" cm="1">
        <f t="array" ref="E250">_xlfn.IFS(D250&lt;=5,"Newcomer",AND(D250&gt;=6,D250&lt;=10),"Proficient",D250&gt;10,"Expert")</f>
        <v>Expert</v>
      </c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 t="str" cm="1">
        <f t="array" ref="M250">_xlfn.IFS(L250="Retirement","Voluntary",L250="Resignation","Voluntary",L250="Layoff","InVoluntary")</f>
        <v>Voluntary</v>
      </c>
      <c r="N250" s="4" t="s">
        <v>26</v>
      </c>
      <c r="O250" s="41"/>
      <c r="P250">
        <v>1</v>
      </c>
      <c r="Q250" t="s">
        <v>173</v>
      </c>
    </row>
    <row r="251" spans="1:17" x14ac:dyDescent="0.35">
      <c r="A251" s="4">
        <v>2002</v>
      </c>
      <c r="B251" s="5">
        <v>33297</v>
      </c>
      <c r="C251" s="5">
        <v>43867</v>
      </c>
      <c r="D251" s="4">
        <v>29</v>
      </c>
      <c r="E251" s="6" t="str" cm="1">
        <f t="array" ref="E251">_xlfn.IFS(D251&lt;=5,"Newcomer",AND(D251&gt;=6,D251&lt;=10),"Proficient",D251&gt;10,"Expert")</f>
        <v>Expert</v>
      </c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 t="str" cm="1">
        <f t="array" ref="M251">_xlfn.IFS(L251="Retirement","Voluntary",L251="Resignation","Voluntary",L251="Layoff","InVoluntary")</f>
        <v>InVoluntary</v>
      </c>
      <c r="N251" s="4" t="s">
        <v>26</v>
      </c>
      <c r="O251" s="41"/>
      <c r="P251">
        <v>1</v>
      </c>
      <c r="Q251" t="s">
        <v>174</v>
      </c>
    </row>
    <row r="252" spans="1:17" x14ac:dyDescent="0.35">
      <c r="A252" s="4">
        <v>2042</v>
      </c>
      <c r="B252" s="5">
        <v>41390</v>
      </c>
      <c r="C252" s="5">
        <v>44069</v>
      </c>
      <c r="D252" s="4">
        <v>7</v>
      </c>
      <c r="E252" s="6" t="str" cm="1">
        <f t="array" ref="E252">_xlfn.IFS(D252&lt;=5,"Newcomer",AND(D252&gt;=6,D252&lt;=10),"Proficient",D252&gt;10,"Expert")</f>
        <v>Proficient</v>
      </c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 t="str" cm="1">
        <f t="array" ref="M252">_xlfn.IFS(L252="Retirement","Voluntary",L252="Resignation","Voluntary",L252="Layoff","InVoluntary")</f>
        <v>InVoluntary</v>
      </c>
      <c r="N252" s="4" t="s">
        <v>26</v>
      </c>
      <c r="O252" s="41"/>
      <c r="P252">
        <v>1</v>
      </c>
      <c r="Q252" t="s">
        <v>174</v>
      </c>
    </row>
    <row r="253" spans="1:17" x14ac:dyDescent="0.35">
      <c r="A253" s="4">
        <v>2103</v>
      </c>
      <c r="B253" s="5">
        <v>33592</v>
      </c>
      <c r="C253" s="5">
        <v>44071</v>
      </c>
      <c r="D253" s="4">
        <v>29</v>
      </c>
      <c r="E253" s="6" t="str" cm="1">
        <f t="array" ref="E253">_xlfn.IFS(D253&lt;=5,"Newcomer",AND(D253&gt;=6,D253&lt;=10),"Proficient",D253&gt;10,"Expert")</f>
        <v>Expert</v>
      </c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 t="str" cm="1">
        <f t="array" ref="M253">_xlfn.IFS(L253="Retirement","Voluntary",L253="Resignation","Voluntary",L253="Layoff","InVoluntary")</f>
        <v>InVoluntary</v>
      </c>
      <c r="N253" s="4" t="s">
        <v>26</v>
      </c>
      <c r="O253" s="41"/>
      <c r="P253">
        <v>1</v>
      </c>
      <c r="Q253" t="s">
        <v>174</v>
      </c>
    </row>
    <row r="254" spans="1:17" x14ac:dyDescent="0.35">
      <c r="A254" s="4">
        <v>2127</v>
      </c>
      <c r="B254" s="5">
        <v>38837</v>
      </c>
      <c r="C254" s="5">
        <v>44092</v>
      </c>
      <c r="D254" s="4">
        <v>14</v>
      </c>
      <c r="E254" s="6" t="str" cm="1">
        <f t="array" ref="E254">_xlfn.IFS(D254&lt;=5,"Newcomer",AND(D254&gt;=6,D254&lt;=10),"Proficient",D254&gt;10,"Expert")</f>
        <v>Expert</v>
      </c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 t="str" cm="1">
        <f t="array" ref="M254">_xlfn.IFS(L254="Retirement","Voluntary",L254="Resignation","Voluntary",L254="Layoff","InVoluntary")</f>
        <v>Voluntary</v>
      </c>
      <c r="N254" s="4" t="s">
        <v>26</v>
      </c>
      <c r="O254" s="41"/>
      <c r="P254">
        <v>1</v>
      </c>
      <c r="Q254" t="s">
        <v>173</v>
      </c>
    </row>
    <row r="255" spans="1:17" x14ac:dyDescent="0.35">
      <c r="A255" s="4">
        <v>2164</v>
      </c>
      <c r="B255" s="5">
        <v>39903</v>
      </c>
      <c r="C255" s="5">
        <v>44115</v>
      </c>
      <c r="D255" s="4">
        <v>11</v>
      </c>
      <c r="E255" s="6" t="str" cm="1">
        <f t="array" ref="E255">_xlfn.IFS(D255&lt;=5,"Newcomer",AND(D255&gt;=6,D255&lt;=10),"Proficient",D255&gt;10,"Expert")</f>
        <v>Expert</v>
      </c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 t="str" cm="1">
        <f t="array" ref="M255">_xlfn.IFS(L255="Retirement","Voluntary",L255="Resignation","Voluntary",L255="Layoff","InVoluntary")</f>
        <v>Voluntary</v>
      </c>
      <c r="N255" s="4" t="s">
        <v>26</v>
      </c>
      <c r="O255" s="41"/>
      <c r="P255">
        <v>1</v>
      </c>
      <c r="Q255" t="s">
        <v>173</v>
      </c>
    </row>
    <row r="256" spans="1:17" x14ac:dyDescent="0.35">
      <c r="A256" s="4">
        <v>2266</v>
      </c>
      <c r="B256" s="5">
        <v>38663</v>
      </c>
      <c r="C256" s="5">
        <v>44144</v>
      </c>
      <c r="D256" s="4">
        <v>15</v>
      </c>
      <c r="E256" s="6" t="str" cm="1">
        <f t="array" ref="E256">_xlfn.IFS(D256&lt;=5,"Newcomer",AND(D256&gt;=6,D256&lt;=10),"Proficient",D256&gt;10,"Expert")</f>
        <v>Expert</v>
      </c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 t="str" cm="1">
        <f t="array" ref="M256">_xlfn.IFS(L256="Retirement","Voluntary",L256="Resignation","Voluntary",L256="Layoff","InVoluntary")</f>
        <v>Voluntary</v>
      </c>
      <c r="N256" s="4" t="s">
        <v>26</v>
      </c>
      <c r="O256" s="41"/>
      <c r="P256">
        <v>1</v>
      </c>
      <c r="Q256" t="s">
        <v>173</v>
      </c>
    </row>
    <row r="257" spans="1:17" x14ac:dyDescent="0.35">
      <c r="A257" s="4">
        <v>2303</v>
      </c>
      <c r="B257" s="5">
        <v>34576</v>
      </c>
      <c r="C257" s="5">
        <v>44030</v>
      </c>
      <c r="D257" s="4">
        <v>26</v>
      </c>
      <c r="E257" s="6" t="str" cm="1">
        <f t="array" ref="E257">_xlfn.IFS(D257&lt;=5,"Newcomer",AND(D257&gt;=6,D257&lt;=10),"Proficient",D257&gt;10,"Expert")</f>
        <v>Expert</v>
      </c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 t="str" cm="1">
        <f t="array" ref="M257">_xlfn.IFS(L257="Retirement","Voluntary",L257="Resignation","Voluntary",L257="Layoff","InVoluntary")</f>
        <v>Voluntary</v>
      </c>
      <c r="N257" s="4" t="s">
        <v>26</v>
      </c>
      <c r="O257" s="41"/>
      <c r="P257">
        <v>1</v>
      </c>
      <c r="Q257" t="s">
        <v>173</v>
      </c>
    </row>
    <row r="258" spans="1:17" x14ac:dyDescent="0.35">
      <c r="A258" s="4">
        <v>2304</v>
      </c>
      <c r="B258" s="5">
        <v>40581</v>
      </c>
      <c r="C258" s="5">
        <v>43946</v>
      </c>
      <c r="D258" s="4">
        <v>9</v>
      </c>
      <c r="E258" s="6" t="str" cm="1">
        <f t="array" ref="E258">_xlfn.IFS(D258&lt;=5,"Newcomer",AND(D258&gt;=6,D258&lt;=10),"Proficient",D258&gt;10,"Expert")</f>
        <v>Proficient</v>
      </c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 t="str" cm="1">
        <f t="array" ref="M258">_xlfn.IFS(L258="Retirement","Voluntary",L258="Resignation","Voluntary",L258="Layoff","InVoluntary")</f>
        <v>Voluntary</v>
      </c>
      <c r="N258" s="4" t="s">
        <v>26</v>
      </c>
      <c r="O258" s="41"/>
      <c r="P258">
        <v>1</v>
      </c>
      <c r="Q258" t="s">
        <v>173</v>
      </c>
    </row>
    <row r="259" spans="1:17" x14ac:dyDescent="0.35">
      <c r="A259" s="4">
        <v>2310</v>
      </c>
      <c r="B259" s="5">
        <v>41730</v>
      </c>
      <c r="C259" s="5">
        <v>43901</v>
      </c>
      <c r="D259" s="4">
        <v>6</v>
      </c>
      <c r="E259" s="6" t="str" cm="1">
        <f t="array" ref="E259">_xlfn.IFS(D259&lt;=5,"Newcomer",AND(D259&gt;=6,D259&lt;=10),"Proficient",D259&gt;10,"Expert")</f>
        <v>Proficient</v>
      </c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 t="str" cm="1">
        <f t="array" ref="M259">_xlfn.IFS(L259="Retirement","Voluntary",L259="Resignation","Voluntary",L259="Layoff","InVoluntary")</f>
        <v>Voluntary</v>
      </c>
      <c r="N259" s="4" t="s">
        <v>26</v>
      </c>
      <c r="O259" s="41"/>
      <c r="P259">
        <v>1</v>
      </c>
      <c r="Q259" t="s">
        <v>173</v>
      </c>
    </row>
    <row r="260" spans="1:17" x14ac:dyDescent="0.35">
      <c r="A260" s="4">
        <v>2325</v>
      </c>
      <c r="B260" s="5">
        <v>38175</v>
      </c>
      <c r="C260" s="5">
        <v>44070</v>
      </c>
      <c r="D260" s="4">
        <v>16</v>
      </c>
      <c r="E260" s="6" t="str" cm="1">
        <f t="array" ref="E260">_xlfn.IFS(D260&lt;=5,"Newcomer",AND(D260&gt;=6,D260&lt;=10),"Proficient",D260&gt;10,"Expert")</f>
        <v>Expert</v>
      </c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 t="str" cm="1">
        <f t="array" ref="M260">_xlfn.IFS(L260="Retirement","Voluntary",L260="Resignation","Voluntary",L260="Layoff","InVoluntary")</f>
        <v>InVoluntary</v>
      </c>
      <c r="N260" s="4" t="s">
        <v>26</v>
      </c>
      <c r="O260" s="41"/>
      <c r="P260">
        <v>1</v>
      </c>
      <c r="Q260" t="s">
        <v>174</v>
      </c>
    </row>
    <row r="261" spans="1:17" x14ac:dyDescent="0.35">
      <c r="A261" s="4">
        <v>2332</v>
      </c>
      <c r="B261" s="5">
        <v>39051</v>
      </c>
      <c r="C261" s="5">
        <v>44090</v>
      </c>
      <c r="D261" s="4">
        <v>14</v>
      </c>
      <c r="E261" s="6" t="str" cm="1">
        <f t="array" ref="E261">_xlfn.IFS(D261&lt;=5,"Newcomer",AND(D261&gt;=6,D261&lt;=10),"Proficient",D261&gt;10,"Expert")</f>
        <v>Expert</v>
      </c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 t="str" cm="1">
        <f t="array" ref="M261">_xlfn.IFS(L261="Retirement","Voluntary",L261="Resignation","Voluntary",L261="Layoff","InVoluntary")</f>
        <v>Voluntary</v>
      </c>
      <c r="N261" s="4" t="s">
        <v>26</v>
      </c>
      <c r="O261" s="41"/>
      <c r="P261">
        <v>1</v>
      </c>
      <c r="Q261" t="s">
        <v>173</v>
      </c>
    </row>
    <row r="262" spans="1:17" x14ac:dyDescent="0.35">
      <c r="A262" s="4">
        <v>2337</v>
      </c>
      <c r="B262" s="5">
        <v>40053</v>
      </c>
      <c r="C262" s="5">
        <v>43974</v>
      </c>
      <c r="D262" s="4">
        <v>11</v>
      </c>
      <c r="E262" s="6" t="str" cm="1">
        <f t="array" ref="E262">_xlfn.IFS(D262&lt;=5,"Newcomer",AND(D262&gt;=6,D262&lt;=10),"Proficient",D262&gt;10,"Expert")</f>
        <v>Expert</v>
      </c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 t="str" cm="1">
        <f t="array" ref="M262">_xlfn.IFS(L262="Retirement","Voluntary",L262="Resignation","Voluntary",L262="Layoff","InVoluntary")</f>
        <v>Voluntary</v>
      </c>
      <c r="N262" s="4" t="s">
        <v>26</v>
      </c>
      <c r="O262" s="41"/>
      <c r="P262">
        <v>1</v>
      </c>
      <c r="Q262" t="s">
        <v>173</v>
      </c>
    </row>
    <row r="263" spans="1:17" x14ac:dyDescent="0.35">
      <c r="A263" s="4">
        <v>2342</v>
      </c>
      <c r="B263" s="5">
        <v>38501</v>
      </c>
      <c r="C263" s="5">
        <v>43948</v>
      </c>
      <c r="D263" s="4">
        <v>15</v>
      </c>
      <c r="E263" s="6" t="str" cm="1">
        <f t="array" ref="E263">_xlfn.IFS(D263&lt;=5,"Newcomer",AND(D263&gt;=6,D263&lt;=10),"Proficient",D263&gt;10,"Expert")</f>
        <v>Expert</v>
      </c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 t="str" cm="1">
        <f t="array" ref="M263">_xlfn.IFS(L263="Retirement","Voluntary",L263="Resignation","Voluntary",L263="Layoff","InVoluntary")</f>
        <v>Voluntary</v>
      </c>
      <c r="N263" s="4" t="s">
        <v>26</v>
      </c>
      <c r="O263" s="41"/>
      <c r="P263">
        <v>1</v>
      </c>
      <c r="Q263" t="s">
        <v>173</v>
      </c>
    </row>
    <row r="264" spans="1:17" x14ac:dyDescent="0.35">
      <c r="A264" s="4">
        <v>2348</v>
      </c>
      <c r="B264" s="5">
        <v>38179</v>
      </c>
      <c r="C264" s="5">
        <v>44165</v>
      </c>
      <c r="D264" s="4">
        <v>16</v>
      </c>
      <c r="E264" s="6" t="str" cm="1">
        <f t="array" ref="E264">_xlfn.IFS(D264&lt;=5,"Newcomer",AND(D264&gt;=6,D264&lt;=10),"Proficient",D264&gt;10,"Expert")</f>
        <v>Expert</v>
      </c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 t="str" cm="1">
        <f t="array" ref="M264">_xlfn.IFS(L264="Retirement","Voluntary",L264="Resignation","Voluntary",L264="Layoff","InVoluntary")</f>
        <v>Voluntary</v>
      </c>
      <c r="N264" s="4" t="s">
        <v>26</v>
      </c>
      <c r="O264" s="41"/>
      <c r="P264">
        <v>1</v>
      </c>
      <c r="Q264" t="s">
        <v>173</v>
      </c>
    </row>
    <row r="265" spans="1:17" x14ac:dyDescent="0.35">
      <c r="A265" s="4">
        <v>2350</v>
      </c>
      <c r="B265" s="5">
        <v>36986</v>
      </c>
      <c r="C265" s="5">
        <v>43929</v>
      </c>
      <c r="D265" s="4">
        <v>19</v>
      </c>
      <c r="E265" s="6" t="str" cm="1">
        <f t="array" ref="E265">_xlfn.IFS(D265&lt;=5,"Newcomer",AND(D265&gt;=6,D265&lt;=10),"Proficient",D265&gt;10,"Expert")</f>
        <v>Expert</v>
      </c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 t="str" cm="1">
        <f t="array" ref="M265">_xlfn.IFS(L265="Retirement","Voluntary",L265="Resignation","Voluntary",L265="Layoff","InVoluntary")</f>
        <v>Voluntary</v>
      </c>
      <c r="N265" s="4" t="s">
        <v>26</v>
      </c>
      <c r="O265" s="41"/>
      <c r="P265">
        <v>1</v>
      </c>
      <c r="Q265" t="s">
        <v>173</v>
      </c>
    </row>
    <row r="266" spans="1:17" x14ac:dyDescent="0.35">
      <c r="A266" s="4">
        <v>2360</v>
      </c>
      <c r="B266" s="5">
        <v>34151</v>
      </c>
      <c r="C266" s="5">
        <v>44136</v>
      </c>
      <c r="D266" s="4">
        <v>27</v>
      </c>
      <c r="E266" s="6" t="str" cm="1">
        <f t="array" ref="E266">_xlfn.IFS(D266&lt;=5,"Newcomer",AND(D266&gt;=6,D266&lt;=10),"Proficient",D266&gt;10,"Expert")</f>
        <v>Expert</v>
      </c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 t="str" cm="1">
        <f t="array" ref="M266">_xlfn.IFS(L266="Retirement","Voluntary",L266="Resignation","Voluntary",L266="Layoff","InVoluntary")</f>
        <v>Voluntary</v>
      </c>
      <c r="N266" s="4" t="s">
        <v>26</v>
      </c>
      <c r="O266" s="41"/>
      <c r="P266">
        <v>1</v>
      </c>
      <c r="Q266" t="s">
        <v>173</v>
      </c>
    </row>
    <row r="267" spans="1:17" x14ac:dyDescent="0.35">
      <c r="A267" s="4">
        <v>2365</v>
      </c>
      <c r="B267" s="5">
        <v>33254</v>
      </c>
      <c r="C267" s="5">
        <v>44143</v>
      </c>
      <c r="D267" s="4">
        <v>29</v>
      </c>
      <c r="E267" s="6" t="str" cm="1">
        <f t="array" ref="E267">_xlfn.IFS(D267&lt;=5,"Newcomer",AND(D267&gt;=6,D267&lt;=10),"Proficient",D267&gt;10,"Expert")</f>
        <v>Expert</v>
      </c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 t="str" cm="1">
        <f t="array" ref="M267">_xlfn.IFS(L267="Retirement","Voluntary",L267="Resignation","Voluntary",L267="Layoff","InVoluntary")</f>
        <v>Voluntary</v>
      </c>
      <c r="N267" s="4" t="s">
        <v>26</v>
      </c>
      <c r="O267" s="41"/>
      <c r="P267">
        <v>1</v>
      </c>
      <c r="Q267" t="s">
        <v>173</v>
      </c>
    </row>
    <row r="268" spans="1:17" x14ac:dyDescent="0.35">
      <c r="A268" s="4">
        <v>2380</v>
      </c>
      <c r="B268" s="5">
        <v>38733</v>
      </c>
      <c r="C268" s="5">
        <v>43891</v>
      </c>
      <c r="D268" s="4">
        <v>14</v>
      </c>
      <c r="E268" s="6" t="str" cm="1">
        <f t="array" ref="E268">_xlfn.IFS(D268&lt;=5,"Newcomer",AND(D268&gt;=6,D268&lt;=10),"Proficient",D268&gt;10,"Expert")</f>
        <v>Expert</v>
      </c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 t="str" cm="1">
        <f t="array" ref="M268">_xlfn.IFS(L268="Retirement","Voluntary",L268="Resignation","Voluntary",L268="Layoff","InVoluntary")</f>
        <v>InVoluntary</v>
      </c>
      <c r="N268" s="4" t="s">
        <v>26</v>
      </c>
      <c r="O268" s="41"/>
      <c r="P268">
        <v>1</v>
      </c>
      <c r="Q268" t="s">
        <v>174</v>
      </c>
    </row>
    <row r="269" spans="1:17" x14ac:dyDescent="0.35">
      <c r="A269" s="4">
        <v>2386</v>
      </c>
      <c r="B269" s="5">
        <v>36913</v>
      </c>
      <c r="C269" s="5">
        <v>43885</v>
      </c>
      <c r="D269" s="4">
        <v>19</v>
      </c>
      <c r="E269" s="6" t="str" cm="1">
        <f t="array" ref="E269">_xlfn.IFS(D269&lt;=5,"Newcomer",AND(D269&gt;=6,D269&lt;=10),"Proficient",D269&gt;10,"Expert")</f>
        <v>Expert</v>
      </c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 t="str" cm="1">
        <f t="array" ref="M269">_xlfn.IFS(L269="Retirement","Voluntary",L269="Resignation","Voluntary",L269="Layoff","InVoluntary")</f>
        <v>Voluntary</v>
      </c>
      <c r="N269" s="4" t="s">
        <v>26</v>
      </c>
      <c r="O269" s="41"/>
      <c r="P269">
        <v>1</v>
      </c>
      <c r="Q269" t="s">
        <v>173</v>
      </c>
    </row>
    <row r="270" spans="1:17" x14ac:dyDescent="0.35">
      <c r="A270" s="4">
        <v>2388</v>
      </c>
      <c r="B270" s="5">
        <v>34674</v>
      </c>
      <c r="C270" s="5">
        <v>44023</v>
      </c>
      <c r="D270" s="4">
        <v>26</v>
      </c>
      <c r="E270" s="6" t="str" cm="1">
        <f t="array" ref="E270">_xlfn.IFS(D270&lt;=5,"Newcomer",AND(D270&gt;=6,D270&lt;=10),"Proficient",D270&gt;10,"Expert")</f>
        <v>Expert</v>
      </c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 t="str" cm="1">
        <f t="array" ref="M270">_xlfn.IFS(L270="Retirement","Voluntary",L270="Resignation","Voluntary",L270="Layoff","InVoluntary")</f>
        <v>Voluntary</v>
      </c>
      <c r="N270" s="4" t="s">
        <v>26</v>
      </c>
      <c r="O270" s="41"/>
      <c r="P270">
        <v>1</v>
      </c>
      <c r="Q270" t="s">
        <v>173</v>
      </c>
    </row>
    <row r="271" spans="1:17" x14ac:dyDescent="0.35">
      <c r="A271" s="4">
        <v>2392</v>
      </c>
      <c r="B271" s="5">
        <v>32941</v>
      </c>
      <c r="C271" s="5">
        <v>44187</v>
      </c>
      <c r="D271" s="4">
        <v>30</v>
      </c>
      <c r="E271" s="6" t="str" cm="1">
        <f t="array" ref="E271">_xlfn.IFS(D271&lt;=5,"Newcomer",AND(D271&gt;=6,D271&lt;=10),"Proficient",D271&gt;10,"Expert")</f>
        <v>Expert</v>
      </c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 t="str" cm="1">
        <f t="array" ref="M271">_xlfn.IFS(L271="Retirement","Voluntary",L271="Resignation","Voluntary",L271="Layoff","InVoluntary")</f>
        <v>Voluntary</v>
      </c>
      <c r="N271" s="4" t="s">
        <v>26</v>
      </c>
      <c r="O271" s="41"/>
      <c r="P271">
        <v>1</v>
      </c>
      <c r="Q271" t="s">
        <v>173</v>
      </c>
    </row>
    <row r="272" spans="1:17" x14ac:dyDescent="0.35">
      <c r="A272" s="4">
        <v>2395</v>
      </c>
      <c r="B272" s="5">
        <v>34287</v>
      </c>
      <c r="C272" s="5">
        <v>44183</v>
      </c>
      <c r="D272" s="4">
        <v>27</v>
      </c>
      <c r="E272" s="6" t="str" cm="1">
        <f t="array" ref="E272">_xlfn.IFS(D272&lt;=5,"Newcomer",AND(D272&gt;=6,D272&lt;=10),"Proficient",D272&gt;10,"Expert")</f>
        <v>Expert</v>
      </c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 t="str" cm="1">
        <f t="array" ref="M272">_xlfn.IFS(L272="Retirement","Voluntary",L272="Resignation","Voluntary",L272="Layoff","InVoluntary")</f>
        <v>Voluntary</v>
      </c>
      <c r="N272" s="4" t="s">
        <v>26</v>
      </c>
      <c r="O272" s="41"/>
      <c r="P272">
        <v>1</v>
      </c>
      <c r="Q272" t="s">
        <v>173</v>
      </c>
    </row>
    <row r="273" spans="1:17" x14ac:dyDescent="0.35">
      <c r="A273" s="4">
        <v>2396</v>
      </c>
      <c r="B273" s="5">
        <v>38125</v>
      </c>
      <c r="C273" s="5">
        <v>44190</v>
      </c>
      <c r="D273" s="4">
        <v>16</v>
      </c>
      <c r="E273" s="6" t="str" cm="1">
        <f t="array" ref="E273">_xlfn.IFS(D273&lt;=5,"Newcomer",AND(D273&gt;=6,D273&lt;=10),"Proficient",D273&gt;10,"Expert")</f>
        <v>Expert</v>
      </c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 t="str" cm="1">
        <f t="array" ref="M273">_xlfn.IFS(L273="Retirement","Voluntary",L273="Resignation","Voluntary",L273="Layoff","InVoluntary")</f>
        <v>Voluntary</v>
      </c>
      <c r="N273" s="4" t="s">
        <v>26</v>
      </c>
      <c r="O273" s="41"/>
      <c r="P273">
        <v>1</v>
      </c>
      <c r="Q273" t="s">
        <v>173</v>
      </c>
    </row>
    <row r="274" spans="1:17" x14ac:dyDescent="0.35">
      <c r="A274" s="4">
        <v>2400</v>
      </c>
      <c r="B274" s="5">
        <v>35689</v>
      </c>
      <c r="C274" s="5">
        <v>43984</v>
      </c>
      <c r="D274" s="4">
        <v>23</v>
      </c>
      <c r="E274" s="6" t="str" cm="1">
        <f t="array" ref="E274">_xlfn.IFS(D274&lt;=5,"Newcomer",AND(D274&gt;=6,D274&lt;=10),"Proficient",D274&gt;10,"Expert")</f>
        <v>Expert</v>
      </c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 t="str" cm="1">
        <f t="array" ref="M274">_xlfn.IFS(L274="Retirement","Voluntary",L274="Resignation","Voluntary",L274="Layoff","InVoluntary")</f>
        <v>Voluntary</v>
      </c>
      <c r="N274" s="4" t="s">
        <v>26</v>
      </c>
      <c r="O274" s="41"/>
      <c r="P274">
        <v>1</v>
      </c>
      <c r="Q274" t="s">
        <v>173</v>
      </c>
    </row>
    <row r="275" spans="1:17" x14ac:dyDescent="0.35">
      <c r="A275" s="4">
        <v>2406</v>
      </c>
      <c r="B275" s="5">
        <v>40730</v>
      </c>
      <c r="C275" s="5">
        <v>44047</v>
      </c>
      <c r="D275" s="4">
        <v>9</v>
      </c>
      <c r="E275" s="6" t="str" cm="1">
        <f t="array" ref="E275">_xlfn.IFS(D275&lt;=5,"Newcomer",AND(D275&gt;=6,D275&lt;=10),"Proficient",D275&gt;10,"Expert")</f>
        <v>Proficient</v>
      </c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 t="str" cm="1">
        <f t="array" ref="M275">_xlfn.IFS(L275="Retirement","Voluntary",L275="Resignation","Voluntary",L275="Layoff","InVoluntary")</f>
        <v>Voluntary</v>
      </c>
      <c r="N275" s="4" t="s">
        <v>26</v>
      </c>
      <c r="O275" s="41"/>
      <c r="P275">
        <v>1</v>
      </c>
      <c r="Q275" t="s">
        <v>173</v>
      </c>
    </row>
    <row r="276" spans="1:17" x14ac:dyDescent="0.35">
      <c r="A276" s="4">
        <v>2411</v>
      </c>
      <c r="B276" s="5">
        <v>38713</v>
      </c>
      <c r="C276" s="5">
        <v>43914</v>
      </c>
      <c r="D276" s="4">
        <v>15</v>
      </c>
      <c r="E276" s="6" t="str" cm="1">
        <f t="array" ref="E276">_xlfn.IFS(D276&lt;=5,"Newcomer",AND(D276&gt;=6,D276&lt;=10),"Proficient",D276&gt;10,"Expert")</f>
        <v>Expert</v>
      </c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 t="str" cm="1">
        <f t="array" ref="M276">_xlfn.IFS(L276="Retirement","Voluntary",L276="Resignation","Voluntary",L276="Layoff","InVoluntary")</f>
        <v>Voluntary</v>
      </c>
      <c r="N276" s="4" t="s">
        <v>26</v>
      </c>
      <c r="O276" s="41"/>
      <c r="P276">
        <v>1</v>
      </c>
      <c r="Q276" t="s">
        <v>173</v>
      </c>
    </row>
    <row r="277" spans="1:17" x14ac:dyDescent="0.35">
      <c r="A277" s="4">
        <v>2412</v>
      </c>
      <c r="B277" s="5">
        <v>37801</v>
      </c>
      <c r="C277" s="5">
        <v>43859</v>
      </c>
      <c r="D277" s="4">
        <v>17</v>
      </c>
      <c r="E277" s="6" t="str" cm="1">
        <f t="array" ref="E277">_xlfn.IFS(D277&lt;=5,"Newcomer",AND(D277&gt;=6,D277&lt;=10),"Proficient",D277&gt;10,"Expert")</f>
        <v>Expert</v>
      </c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 t="str" cm="1">
        <f t="array" ref="M277">_xlfn.IFS(L277="Retirement","Voluntary",L277="Resignation","Voluntary",L277="Layoff","InVoluntary")</f>
        <v>Voluntary</v>
      </c>
      <c r="N277" s="4" t="s">
        <v>26</v>
      </c>
      <c r="O277" s="41"/>
      <c r="P277">
        <v>1</v>
      </c>
      <c r="Q277" t="s">
        <v>173</v>
      </c>
    </row>
    <row r="278" spans="1:17" x14ac:dyDescent="0.35">
      <c r="A278" s="4">
        <v>2415</v>
      </c>
      <c r="B278" s="5">
        <v>33541</v>
      </c>
      <c r="C278" s="5">
        <v>44177</v>
      </c>
      <c r="D278" s="4">
        <v>29</v>
      </c>
      <c r="E278" s="6" t="str" cm="1">
        <f t="array" ref="E278">_xlfn.IFS(D278&lt;=5,"Newcomer",AND(D278&gt;=6,D278&lt;=10),"Proficient",D278&gt;10,"Expert")</f>
        <v>Expert</v>
      </c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 t="str" cm="1">
        <f t="array" ref="M278">_xlfn.IFS(L278="Retirement","Voluntary",L278="Resignation","Voluntary",L278="Layoff","InVoluntary")</f>
        <v>Voluntary</v>
      </c>
      <c r="N278" s="4" t="s">
        <v>26</v>
      </c>
      <c r="O278" s="41"/>
      <c r="P278">
        <v>1</v>
      </c>
      <c r="Q278" t="s">
        <v>173</v>
      </c>
    </row>
    <row r="279" spans="1:17" x14ac:dyDescent="0.35">
      <c r="A279" s="4">
        <v>2417</v>
      </c>
      <c r="B279" s="5">
        <v>41189</v>
      </c>
      <c r="C279" s="5">
        <v>44086</v>
      </c>
      <c r="D279" s="4">
        <v>8</v>
      </c>
      <c r="E279" s="6" t="str" cm="1">
        <f t="array" ref="E279">_xlfn.IFS(D279&lt;=5,"Newcomer",AND(D279&gt;=6,D279&lt;=10),"Proficient",D279&gt;10,"Expert")</f>
        <v>Proficient</v>
      </c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 t="str" cm="1">
        <f t="array" ref="M279">_xlfn.IFS(L279="Retirement","Voluntary",L279="Resignation","Voluntary",L279="Layoff","InVoluntary")</f>
        <v>Voluntary</v>
      </c>
      <c r="N279" s="4" t="s">
        <v>26</v>
      </c>
      <c r="O279" s="41"/>
      <c r="P279">
        <v>1</v>
      </c>
      <c r="Q279" t="s">
        <v>173</v>
      </c>
    </row>
    <row r="280" spans="1:17" x14ac:dyDescent="0.35">
      <c r="A280" s="4">
        <v>2419</v>
      </c>
      <c r="B280" s="5">
        <v>35299</v>
      </c>
      <c r="C280" s="5">
        <v>43925</v>
      </c>
      <c r="D280" s="4">
        <v>24</v>
      </c>
      <c r="E280" s="6" t="str" cm="1">
        <f t="array" ref="E280">_xlfn.IFS(D280&lt;=5,"Newcomer",AND(D280&gt;=6,D280&lt;=10),"Proficient",D280&gt;10,"Expert")</f>
        <v>Expert</v>
      </c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 t="str" cm="1">
        <f t="array" ref="M280">_xlfn.IFS(L280="Retirement","Voluntary",L280="Resignation","Voluntary",L280="Layoff","InVoluntary")</f>
        <v>Voluntary</v>
      </c>
      <c r="N280" s="4" t="s">
        <v>26</v>
      </c>
      <c r="O280" s="41"/>
      <c r="P280">
        <v>1</v>
      </c>
      <c r="Q280" t="s">
        <v>173</v>
      </c>
    </row>
    <row r="281" spans="1:17" x14ac:dyDescent="0.35">
      <c r="A281" s="4">
        <v>2425</v>
      </c>
      <c r="B281" s="5">
        <v>36961</v>
      </c>
      <c r="C281" s="5">
        <v>44017</v>
      </c>
      <c r="D281" s="4">
        <v>19</v>
      </c>
      <c r="E281" s="6" t="str" cm="1">
        <f t="array" ref="E281">_xlfn.IFS(D281&lt;=5,"Newcomer",AND(D281&gt;=6,D281&lt;=10),"Proficient",D281&gt;10,"Expert")</f>
        <v>Expert</v>
      </c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 t="str" cm="1">
        <f t="array" ref="M281">_xlfn.IFS(L281="Retirement","Voluntary",L281="Resignation","Voluntary",L281="Layoff","InVoluntary")</f>
        <v>Voluntary</v>
      </c>
      <c r="N281" s="4" t="s">
        <v>26</v>
      </c>
      <c r="O281" s="41"/>
      <c r="P281">
        <v>1</v>
      </c>
      <c r="Q281" t="s">
        <v>173</v>
      </c>
    </row>
    <row r="282" spans="1:17" x14ac:dyDescent="0.35">
      <c r="A282" s="4">
        <v>2440</v>
      </c>
      <c r="B282" s="5">
        <v>37734</v>
      </c>
      <c r="C282" s="5">
        <v>43960</v>
      </c>
      <c r="D282" s="4">
        <v>17</v>
      </c>
      <c r="E282" s="6" t="str" cm="1">
        <f t="array" ref="E282">_xlfn.IFS(D282&lt;=5,"Newcomer",AND(D282&gt;=6,D282&lt;=10),"Proficient",D282&gt;10,"Expert")</f>
        <v>Expert</v>
      </c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 t="str" cm="1">
        <f t="array" ref="M282">_xlfn.IFS(L282="Retirement","Voluntary",L282="Resignation","Voluntary",L282="Layoff","InVoluntary")</f>
        <v>Voluntary</v>
      </c>
      <c r="N282" s="4" t="s">
        <v>26</v>
      </c>
      <c r="O282" s="41"/>
      <c r="P282">
        <v>1</v>
      </c>
      <c r="Q282" t="s">
        <v>173</v>
      </c>
    </row>
    <row r="283" spans="1:17" x14ac:dyDescent="0.35">
      <c r="A283" s="4">
        <v>2442</v>
      </c>
      <c r="B283" s="5">
        <v>40921</v>
      </c>
      <c r="C283" s="5">
        <v>43959</v>
      </c>
      <c r="D283" s="4">
        <v>8</v>
      </c>
      <c r="E283" s="6" t="str" cm="1">
        <f t="array" ref="E283">_xlfn.IFS(D283&lt;=5,"Newcomer",AND(D283&gt;=6,D283&lt;=10),"Proficient",D283&gt;10,"Expert")</f>
        <v>Proficient</v>
      </c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 t="str" cm="1">
        <f t="array" ref="M283">_xlfn.IFS(L283="Retirement","Voluntary",L283="Resignation","Voluntary",L283="Layoff","InVoluntary")</f>
        <v>InVoluntary</v>
      </c>
      <c r="N283" s="4" t="s">
        <v>26</v>
      </c>
      <c r="O283" s="41"/>
      <c r="P283">
        <v>1</v>
      </c>
      <c r="Q283" t="s">
        <v>174</v>
      </c>
    </row>
    <row r="284" spans="1:17" x14ac:dyDescent="0.35">
      <c r="A284" s="4">
        <v>2452</v>
      </c>
      <c r="B284" s="5">
        <v>34859</v>
      </c>
      <c r="C284" s="5">
        <v>44170</v>
      </c>
      <c r="D284" s="4">
        <v>25</v>
      </c>
      <c r="E284" s="6" t="str" cm="1">
        <f t="array" ref="E284">_xlfn.IFS(D284&lt;=5,"Newcomer",AND(D284&gt;=6,D284&lt;=10),"Proficient",D284&gt;10,"Expert")</f>
        <v>Expert</v>
      </c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 t="str" cm="1">
        <f t="array" ref="M284">_xlfn.IFS(L284="Retirement","Voluntary",L284="Resignation","Voluntary",L284="Layoff","InVoluntary")</f>
        <v>Voluntary</v>
      </c>
      <c r="N284" s="4" t="s">
        <v>26</v>
      </c>
      <c r="O284" s="41"/>
      <c r="P284">
        <v>1</v>
      </c>
      <c r="Q284" t="s">
        <v>173</v>
      </c>
    </row>
    <row r="285" spans="1:17" x14ac:dyDescent="0.35">
      <c r="A285" s="4">
        <v>2453</v>
      </c>
      <c r="B285" s="5">
        <v>37942</v>
      </c>
      <c r="C285" s="5">
        <v>44177</v>
      </c>
      <c r="D285" s="4">
        <v>17</v>
      </c>
      <c r="E285" s="6" t="str" cm="1">
        <f t="array" ref="E285">_xlfn.IFS(D285&lt;=5,"Newcomer",AND(D285&gt;=6,D285&lt;=10),"Proficient",D285&gt;10,"Expert")</f>
        <v>Expert</v>
      </c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 t="str" cm="1">
        <f t="array" ref="M285">_xlfn.IFS(L285="Retirement","Voluntary",L285="Resignation","Voluntary",L285="Layoff","InVoluntary")</f>
        <v>Voluntary</v>
      </c>
      <c r="N285" s="4" t="s">
        <v>26</v>
      </c>
      <c r="O285" s="41"/>
      <c r="P285">
        <v>1</v>
      </c>
      <c r="Q285" t="s">
        <v>173</v>
      </c>
    </row>
    <row r="286" spans="1:17" x14ac:dyDescent="0.35">
      <c r="A286" s="4">
        <v>2456</v>
      </c>
      <c r="B286" s="5">
        <v>40893</v>
      </c>
      <c r="C286" s="5">
        <v>43988</v>
      </c>
      <c r="D286" s="4">
        <v>9</v>
      </c>
      <c r="E286" s="6" t="str" cm="1">
        <f t="array" ref="E286">_xlfn.IFS(D286&lt;=5,"Newcomer",AND(D286&gt;=6,D286&lt;=10),"Proficient",D286&gt;10,"Expert")</f>
        <v>Proficient</v>
      </c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 t="str" cm="1">
        <f t="array" ref="M286">_xlfn.IFS(L286="Retirement","Voluntary",L286="Resignation","Voluntary",L286="Layoff","InVoluntary")</f>
        <v>Voluntary</v>
      </c>
      <c r="N286" s="4" t="s">
        <v>26</v>
      </c>
      <c r="O286" s="41"/>
      <c r="P286">
        <v>1</v>
      </c>
      <c r="Q286" t="s">
        <v>173</v>
      </c>
    </row>
    <row r="287" spans="1:17" x14ac:dyDescent="0.35">
      <c r="A287" s="4">
        <v>2464</v>
      </c>
      <c r="B287" s="5">
        <v>37600</v>
      </c>
      <c r="C287" s="5">
        <v>44135</v>
      </c>
      <c r="D287" s="4">
        <v>18</v>
      </c>
      <c r="E287" s="6" t="str" cm="1">
        <f t="array" ref="E287">_xlfn.IFS(D287&lt;=5,"Newcomer",AND(D287&gt;=6,D287&lt;=10),"Proficient",D287&gt;10,"Expert")</f>
        <v>Expert</v>
      </c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 t="str" cm="1">
        <f t="array" ref="M287">_xlfn.IFS(L287="Retirement","Voluntary",L287="Resignation","Voluntary",L287="Layoff","InVoluntary")</f>
        <v>Voluntary</v>
      </c>
      <c r="N287" s="4" t="s">
        <v>26</v>
      </c>
      <c r="O287" s="41"/>
      <c r="P287">
        <v>1</v>
      </c>
      <c r="Q287" t="s">
        <v>173</v>
      </c>
    </row>
    <row r="288" spans="1:17" x14ac:dyDescent="0.35">
      <c r="A288" s="4">
        <v>2467</v>
      </c>
      <c r="B288" s="5">
        <v>38663</v>
      </c>
      <c r="C288" s="5">
        <v>44174</v>
      </c>
      <c r="D288" s="4">
        <v>15</v>
      </c>
      <c r="E288" s="6" t="str" cm="1">
        <f t="array" ref="E288">_xlfn.IFS(D288&lt;=5,"Newcomer",AND(D288&gt;=6,D288&lt;=10),"Proficient",D288&gt;10,"Expert")</f>
        <v>Expert</v>
      </c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 t="str" cm="1">
        <f t="array" ref="M288">_xlfn.IFS(L288="Retirement","Voluntary",L288="Resignation","Voluntary",L288="Layoff","InVoluntary")</f>
        <v>Voluntary</v>
      </c>
      <c r="N288" s="4" t="s">
        <v>26</v>
      </c>
      <c r="O288" s="41"/>
      <c r="P288">
        <v>1</v>
      </c>
      <c r="Q288" t="s">
        <v>173</v>
      </c>
    </row>
    <row r="289" spans="1:17" x14ac:dyDescent="0.35">
      <c r="A289" s="4">
        <v>2469</v>
      </c>
      <c r="B289" s="5">
        <v>38126</v>
      </c>
      <c r="C289" s="5">
        <v>43956</v>
      </c>
      <c r="D289" s="4">
        <v>16</v>
      </c>
      <c r="E289" s="6" t="str" cm="1">
        <f t="array" ref="E289">_xlfn.IFS(D289&lt;=5,"Newcomer",AND(D289&gt;=6,D289&lt;=10),"Proficient",D289&gt;10,"Expert")</f>
        <v>Expert</v>
      </c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 t="str" cm="1">
        <f t="array" ref="M289">_xlfn.IFS(L289="Retirement","Voluntary",L289="Resignation","Voluntary",L289="Layoff","InVoluntary")</f>
        <v>Voluntary</v>
      </c>
      <c r="N289" s="4" t="s">
        <v>26</v>
      </c>
      <c r="O289" s="41"/>
      <c r="P289">
        <v>1</v>
      </c>
      <c r="Q289" t="s">
        <v>173</v>
      </c>
    </row>
    <row r="290" spans="1:17" x14ac:dyDescent="0.35">
      <c r="A290" s="4">
        <v>2473</v>
      </c>
      <c r="B290" s="5">
        <v>32967</v>
      </c>
      <c r="C290" s="5">
        <v>43957</v>
      </c>
      <c r="D290" s="4">
        <v>30</v>
      </c>
      <c r="E290" s="6" t="str" cm="1">
        <f t="array" ref="E290">_xlfn.IFS(D290&lt;=5,"Newcomer",AND(D290&gt;=6,D290&lt;=10),"Proficient",D290&gt;10,"Expert")</f>
        <v>Expert</v>
      </c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 t="str" cm="1">
        <f t="array" ref="M290">_xlfn.IFS(L290="Retirement","Voluntary",L290="Resignation","Voluntary",L290="Layoff","InVoluntary")</f>
        <v>Voluntary</v>
      </c>
      <c r="N290" s="4" t="s">
        <v>26</v>
      </c>
      <c r="O290" s="41"/>
      <c r="P290">
        <v>1</v>
      </c>
      <c r="Q290" t="s">
        <v>173</v>
      </c>
    </row>
    <row r="291" spans="1:17" x14ac:dyDescent="0.35">
      <c r="A291" s="4">
        <v>2474</v>
      </c>
      <c r="B291" s="5">
        <v>38274</v>
      </c>
      <c r="C291" s="5">
        <v>43971</v>
      </c>
      <c r="D291" s="4">
        <v>16</v>
      </c>
      <c r="E291" s="6" t="str" cm="1">
        <f t="array" ref="E291">_xlfn.IFS(D291&lt;=5,"Newcomer",AND(D291&gt;=6,D291&lt;=10),"Proficient",D291&gt;10,"Expert")</f>
        <v>Expert</v>
      </c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 t="str" cm="1">
        <f t="array" ref="M291">_xlfn.IFS(L291="Retirement","Voluntary",L291="Resignation","Voluntary",L291="Layoff","InVoluntary")</f>
        <v>InVoluntary</v>
      </c>
      <c r="N291" s="4" t="s">
        <v>26</v>
      </c>
      <c r="O291" s="41"/>
      <c r="P291">
        <v>1</v>
      </c>
      <c r="Q291" t="s">
        <v>174</v>
      </c>
    </row>
    <row r="292" spans="1:17" x14ac:dyDescent="0.35">
      <c r="A292" s="4">
        <v>2478</v>
      </c>
      <c r="B292" s="5">
        <v>39811</v>
      </c>
      <c r="C292" s="5">
        <v>43987</v>
      </c>
      <c r="D292" s="4">
        <v>12</v>
      </c>
      <c r="E292" s="6" t="str" cm="1">
        <f t="array" ref="E292">_xlfn.IFS(D292&lt;=5,"Newcomer",AND(D292&gt;=6,D292&lt;=10),"Proficient",D292&gt;10,"Expert")</f>
        <v>Expert</v>
      </c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 t="str" cm="1">
        <f t="array" ref="M292">_xlfn.IFS(L292="Retirement","Voluntary",L292="Resignation","Voluntary",L292="Layoff","InVoluntary")</f>
        <v>Voluntary</v>
      </c>
      <c r="N292" s="4" t="s">
        <v>26</v>
      </c>
      <c r="O292" s="41"/>
      <c r="P292">
        <v>1</v>
      </c>
      <c r="Q292" t="s">
        <v>173</v>
      </c>
    </row>
    <row r="293" spans="1:17" x14ac:dyDescent="0.35">
      <c r="A293" s="4">
        <v>2479</v>
      </c>
      <c r="B293" s="5">
        <v>34585</v>
      </c>
      <c r="C293" s="5">
        <v>43916</v>
      </c>
      <c r="D293" s="4">
        <v>26</v>
      </c>
      <c r="E293" s="6" t="str" cm="1">
        <f t="array" ref="E293">_xlfn.IFS(D293&lt;=5,"Newcomer",AND(D293&gt;=6,D293&lt;=10),"Proficient",D293&gt;10,"Expert")</f>
        <v>Expert</v>
      </c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 t="str" cm="1">
        <f t="array" ref="M293">_xlfn.IFS(L293="Retirement","Voluntary",L293="Resignation","Voluntary",L293="Layoff","InVoluntary")</f>
        <v>Voluntary</v>
      </c>
      <c r="N293" s="4" t="s">
        <v>26</v>
      </c>
      <c r="O293" s="41"/>
      <c r="P293">
        <v>1</v>
      </c>
      <c r="Q293" t="s">
        <v>173</v>
      </c>
    </row>
    <row r="294" spans="1:17" x14ac:dyDescent="0.35">
      <c r="A294" s="4">
        <v>2484</v>
      </c>
      <c r="B294" s="5">
        <v>42007</v>
      </c>
      <c r="C294" s="5">
        <v>43848</v>
      </c>
      <c r="D294" s="4">
        <v>5</v>
      </c>
      <c r="E294" s="6" t="str" cm="1">
        <f t="array" ref="E294">_xlfn.IFS(D294&lt;=5,"Newcomer",AND(D294&gt;=6,D294&lt;=10),"Proficient",D294&gt;10,"Expert")</f>
        <v>Newcomer</v>
      </c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 t="str" cm="1">
        <f t="array" ref="M294">_xlfn.IFS(L294="Retirement","Voluntary",L294="Resignation","Voluntary",L294="Layoff","InVoluntary")</f>
        <v>Voluntary</v>
      </c>
      <c r="N294" s="4" t="s">
        <v>26</v>
      </c>
      <c r="O294" s="41"/>
      <c r="P294">
        <v>1</v>
      </c>
      <c r="Q294" t="s">
        <v>173</v>
      </c>
    </row>
    <row r="295" spans="1:17" x14ac:dyDescent="0.35">
      <c r="A295" s="4">
        <v>2489</v>
      </c>
      <c r="B295" s="5">
        <v>32976</v>
      </c>
      <c r="C295" s="5">
        <v>43986</v>
      </c>
      <c r="D295" s="4">
        <v>30</v>
      </c>
      <c r="E295" s="6" t="str" cm="1">
        <f t="array" ref="E295">_xlfn.IFS(D295&lt;=5,"Newcomer",AND(D295&gt;=6,D295&lt;=10),"Proficient",D295&gt;10,"Expert")</f>
        <v>Expert</v>
      </c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 t="str" cm="1">
        <f t="array" ref="M295">_xlfn.IFS(L295="Retirement","Voluntary",L295="Resignation","Voluntary",L295="Layoff","InVoluntary")</f>
        <v>Voluntary</v>
      </c>
      <c r="N295" s="4" t="s">
        <v>26</v>
      </c>
      <c r="O295" s="41"/>
      <c r="P295">
        <v>1</v>
      </c>
      <c r="Q295" t="s">
        <v>173</v>
      </c>
    </row>
    <row r="296" spans="1:17" x14ac:dyDescent="0.35">
      <c r="A296" s="4">
        <v>2494</v>
      </c>
      <c r="B296" s="5">
        <v>38874</v>
      </c>
      <c r="C296" s="5">
        <v>43902</v>
      </c>
      <c r="D296" s="4">
        <v>14</v>
      </c>
      <c r="E296" s="6" t="str" cm="1">
        <f t="array" ref="E296">_xlfn.IFS(D296&lt;=5,"Newcomer",AND(D296&gt;=6,D296&lt;=10),"Proficient",D296&gt;10,"Expert")</f>
        <v>Expert</v>
      </c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 t="str" cm="1">
        <f t="array" ref="M296">_xlfn.IFS(L296="Retirement","Voluntary",L296="Resignation","Voluntary",L296="Layoff","InVoluntary")</f>
        <v>Voluntary</v>
      </c>
      <c r="N296" s="4" t="s">
        <v>26</v>
      </c>
      <c r="O296" s="41"/>
      <c r="P296">
        <v>1</v>
      </c>
      <c r="Q296" t="s">
        <v>173</v>
      </c>
    </row>
    <row r="297" spans="1:17" x14ac:dyDescent="0.35">
      <c r="A297" s="4">
        <v>2495</v>
      </c>
      <c r="B297" s="5">
        <v>41908</v>
      </c>
      <c r="C297" s="5">
        <v>44175</v>
      </c>
      <c r="D297" s="4">
        <v>6</v>
      </c>
      <c r="E297" s="6" t="str" cm="1">
        <f t="array" ref="E297">_xlfn.IFS(D297&lt;=5,"Newcomer",AND(D297&gt;=6,D297&lt;=10),"Proficient",D297&gt;10,"Expert")</f>
        <v>Proficient</v>
      </c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 t="str" cm="1">
        <f t="array" ref="M297">_xlfn.IFS(L297="Retirement","Voluntary",L297="Resignation","Voluntary",L297="Layoff","InVoluntary")</f>
        <v>Voluntary</v>
      </c>
      <c r="N297" s="4" t="s">
        <v>26</v>
      </c>
      <c r="O297" s="41"/>
      <c r="P297">
        <v>1</v>
      </c>
      <c r="Q297" t="s">
        <v>173</v>
      </c>
    </row>
    <row r="298" spans="1:17" x14ac:dyDescent="0.35">
      <c r="A298" s="4">
        <v>2496</v>
      </c>
      <c r="B298" s="5">
        <v>38221</v>
      </c>
      <c r="C298" s="5">
        <v>44035</v>
      </c>
      <c r="D298" s="4">
        <v>16</v>
      </c>
      <c r="E298" s="6" t="str" cm="1">
        <f t="array" ref="E298">_xlfn.IFS(D298&lt;=5,"Newcomer",AND(D298&gt;=6,D298&lt;=10),"Proficient",D298&gt;10,"Expert")</f>
        <v>Expert</v>
      </c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 t="str" cm="1">
        <f t="array" ref="M298">_xlfn.IFS(L298="Retirement","Voluntary",L298="Resignation","Voluntary",L298="Layoff","InVoluntary")</f>
        <v>Voluntary</v>
      </c>
      <c r="N298" s="4" t="s">
        <v>26</v>
      </c>
      <c r="O298" s="41"/>
      <c r="P298">
        <v>1</v>
      </c>
      <c r="Q298" t="s">
        <v>173</v>
      </c>
    </row>
    <row r="299" spans="1:17" x14ac:dyDescent="0.35">
      <c r="A299" s="4">
        <v>2499</v>
      </c>
      <c r="B299" s="5">
        <v>41475</v>
      </c>
      <c r="C299" s="5">
        <v>44170</v>
      </c>
      <c r="D299" s="4">
        <v>7</v>
      </c>
      <c r="E299" s="6" t="str" cm="1">
        <f t="array" ref="E299">_xlfn.IFS(D299&lt;=5,"Newcomer",AND(D299&gt;=6,D299&lt;=10),"Proficient",D299&gt;10,"Expert")</f>
        <v>Proficient</v>
      </c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 t="str" cm="1">
        <f t="array" ref="M299">_xlfn.IFS(L299="Retirement","Voluntary",L299="Resignation","Voluntary",L299="Layoff","InVoluntary")</f>
        <v>Voluntary</v>
      </c>
      <c r="N299" s="4" t="s">
        <v>26</v>
      </c>
      <c r="O299" s="41"/>
      <c r="P299">
        <v>1</v>
      </c>
      <c r="Q299" t="s">
        <v>173</v>
      </c>
    </row>
    <row r="300" spans="1:17" x14ac:dyDescent="0.35">
      <c r="A300" s="4">
        <v>2508</v>
      </c>
      <c r="B300" s="5">
        <v>37798</v>
      </c>
      <c r="C300" s="5">
        <v>44052</v>
      </c>
      <c r="D300" s="4">
        <v>17</v>
      </c>
      <c r="E300" s="6" t="str" cm="1">
        <f t="array" ref="E300">_xlfn.IFS(D300&lt;=5,"Newcomer",AND(D300&gt;=6,D300&lt;=10),"Proficient",D300&gt;10,"Expert")</f>
        <v>Expert</v>
      </c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 t="str" cm="1">
        <f t="array" ref="M300">_xlfn.IFS(L300="Retirement","Voluntary",L300="Resignation","Voluntary",L300="Layoff","InVoluntary")</f>
        <v>Voluntary</v>
      </c>
      <c r="N300" s="4" t="s">
        <v>26</v>
      </c>
      <c r="O300" s="41"/>
      <c r="P300">
        <v>1</v>
      </c>
      <c r="Q300" t="s">
        <v>173</v>
      </c>
    </row>
    <row r="301" spans="1:17" x14ac:dyDescent="0.35">
      <c r="A301" s="4">
        <v>2510</v>
      </c>
      <c r="B301" s="5">
        <v>33128</v>
      </c>
      <c r="C301" s="5">
        <v>43908</v>
      </c>
      <c r="D301" s="4">
        <v>30</v>
      </c>
      <c r="E301" s="6" t="str" cm="1">
        <f t="array" ref="E301">_xlfn.IFS(D301&lt;=5,"Newcomer",AND(D301&gt;=6,D301&lt;=10),"Proficient",D301&gt;10,"Expert")</f>
        <v>Expert</v>
      </c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 t="str" cm="1">
        <f t="array" ref="M301">_xlfn.IFS(L301="Retirement","Voluntary",L301="Resignation","Voluntary",L301="Layoff","InVoluntary")</f>
        <v>Voluntary</v>
      </c>
      <c r="N301" s="4" t="s">
        <v>26</v>
      </c>
      <c r="O301" s="41"/>
      <c r="P301">
        <v>1</v>
      </c>
      <c r="Q301" t="s">
        <v>173</v>
      </c>
    </row>
    <row r="302" spans="1:17" x14ac:dyDescent="0.35">
      <c r="A302" s="4">
        <v>2517</v>
      </c>
      <c r="B302" s="5">
        <v>36917</v>
      </c>
      <c r="C302" s="5">
        <v>43840</v>
      </c>
      <c r="D302" s="4">
        <v>19</v>
      </c>
      <c r="E302" s="6" t="str" cm="1">
        <f t="array" ref="E302">_xlfn.IFS(D302&lt;=5,"Newcomer",AND(D302&gt;=6,D302&lt;=10),"Proficient",D302&gt;10,"Expert")</f>
        <v>Expert</v>
      </c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 t="str" cm="1">
        <f t="array" ref="M302">_xlfn.IFS(L302="Retirement","Voluntary",L302="Resignation","Voluntary",L302="Layoff","InVoluntary")</f>
        <v>Voluntary</v>
      </c>
      <c r="N302" s="4" t="s">
        <v>26</v>
      </c>
      <c r="O302" s="41"/>
      <c r="P302">
        <v>1</v>
      </c>
      <c r="Q302" t="s">
        <v>173</v>
      </c>
    </row>
    <row r="303" spans="1:17" x14ac:dyDescent="0.35">
      <c r="A303" s="4">
        <v>2520</v>
      </c>
      <c r="B303" s="5">
        <v>38823</v>
      </c>
      <c r="C303" s="5">
        <v>44109</v>
      </c>
      <c r="D303" s="4">
        <v>14</v>
      </c>
      <c r="E303" s="6" t="str" cm="1">
        <f t="array" ref="E303">_xlfn.IFS(D303&lt;=5,"Newcomer",AND(D303&gt;=6,D303&lt;=10),"Proficient",D303&gt;10,"Expert")</f>
        <v>Expert</v>
      </c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 t="str" cm="1">
        <f t="array" ref="M303">_xlfn.IFS(L303="Retirement","Voluntary",L303="Resignation","Voluntary",L303="Layoff","InVoluntary")</f>
        <v>Voluntary</v>
      </c>
      <c r="N303" s="4" t="s">
        <v>26</v>
      </c>
      <c r="O303" s="41"/>
      <c r="P303">
        <v>1</v>
      </c>
      <c r="Q303" t="s">
        <v>173</v>
      </c>
    </row>
    <row r="304" spans="1:17" x14ac:dyDescent="0.35">
      <c r="A304" s="4">
        <v>2522</v>
      </c>
      <c r="B304" s="5">
        <v>39429</v>
      </c>
      <c r="C304" s="5">
        <v>44131</v>
      </c>
      <c r="D304" s="4">
        <v>13</v>
      </c>
      <c r="E304" s="6" t="str" cm="1">
        <f t="array" ref="E304">_xlfn.IFS(D304&lt;=5,"Newcomer",AND(D304&gt;=6,D304&lt;=10),"Proficient",D304&gt;10,"Expert")</f>
        <v>Expert</v>
      </c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 t="str" cm="1">
        <f t="array" ref="M304">_xlfn.IFS(L304="Retirement","Voluntary",L304="Resignation","Voluntary",L304="Layoff","InVoluntary")</f>
        <v>Voluntary</v>
      </c>
      <c r="N304" s="4" t="s">
        <v>26</v>
      </c>
      <c r="O304" s="41"/>
      <c r="P304">
        <v>1</v>
      </c>
      <c r="Q304" t="s">
        <v>173</v>
      </c>
    </row>
    <row r="305" spans="1:17" x14ac:dyDescent="0.35">
      <c r="A305" s="4">
        <v>2524</v>
      </c>
      <c r="B305" s="5">
        <v>38821</v>
      </c>
      <c r="C305" s="5">
        <v>43922</v>
      </c>
      <c r="D305" s="4">
        <v>14</v>
      </c>
      <c r="E305" s="6" t="str" cm="1">
        <f t="array" ref="E305">_xlfn.IFS(D305&lt;=5,"Newcomer",AND(D305&gt;=6,D305&lt;=10),"Proficient",D305&gt;10,"Expert")</f>
        <v>Expert</v>
      </c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 t="str" cm="1">
        <f t="array" ref="M305">_xlfn.IFS(L305="Retirement","Voluntary",L305="Resignation","Voluntary",L305="Layoff","InVoluntary")</f>
        <v>InVoluntary</v>
      </c>
      <c r="N305" s="4" t="s">
        <v>26</v>
      </c>
      <c r="O305" s="41"/>
      <c r="P305">
        <v>1</v>
      </c>
      <c r="Q305" t="s">
        <v>174</v>
      </c>
    </row>
    <row r="306" spans="1:17" x14ac:dyDescent="0.35">
      <c r="A306" s="4">
        <v>2540</v>
      </c>
      <c r="B306" s="5">
        <v>36131</v>
      </c>
      <c r="C306" s="5">
        <v>44183</v>
      </c>
      <c r="D306" s="4">
        <v>22</v>
      </c>
      <c r="E306" s="6" t="str" cm="1">
        <f t="array" ref="E306">_xlfn.IFS(D306&lt;=5,"Newcomer",AND(D306&gt;=6,D306&lt;=10),"Proficient",D306&gt;10,"Expert")</f>
        <v>Expert</v>
      </c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 t="str" cm="1">
        <f t="array" ref="M306">_xlfn.IFS(L306="Retirement","Voluntary",L306="Resignation","Voluntary",L306="Layoff","InVoluntary")</f>
        <v>Voluntary</v>
      </c>
      <c r="N306" s="4" t="s">
        <v>26</v>
      </c>
      <c r="O306" s="41"/>
      <c r="P306">
        <v>1</v>
      </c>
      <c r="Q306" t="s">
        <v>173</v>
      </c>
    </row>
    <row r="307" spans="1:17" x14ac:dyDescent="0.35">
      <c r="A307" s="4">
        <v>2542</v>
      </c>
      <c r="B307" s="5">
        <v>37362</v>
      </c>
      <c r="C307" s="5">
        <v>44062</v>
      </c>
      <c r="D307" s="4">
        <v>18</v>
      </c>
      <c r="E307" s="6" t="str" cm="1">
        <f t="array" ref="E307">_xlfn.IFS(D307&lt;=5,"Newcomer",AND(D307&gt;=6,D307&lt;=10),"Proficient",D307&gt;10,"Expert")</f>
        <v>Expert</v>
      </c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 t="str" cm="1">
        <f t="array" ref="M307">_xlfn.IFS(L307="Retirement","Voluntary",L307="Resignation","Voluntary",L307="Layoff","InVoluntary")</f>
        <v>Voluntary</v>
      </c>
      <c r="N307" s="4" t="s">
        <v>26</v>
      </c>
      <c r="O307" s="41"/>
      <c r="P307">
        <v>1</v>
      </c>
      <c r="Q307" t="s">
        <v>173</v>
      </c>
    </row>
    <row r="308" spans="1:17" x14ac:dyDescent="0.35">
      <c r="A308" s="4">
        <v>2545</v>
      </c>
      <c r="B308" s="5">
        <v>40318</v>
      </c>
      <c r="C308" s="5">
        <v>43947</v>
      </c>
      <c r="D308" s="4">
        <v>10</v>
      </c>
      <c r="E308" s="6" t="str" cm="1">
        <f t="array" ref="E308">_xlfn.IFS(D308&lt;=5,"Newcomer",AND(D308&gt;=6,D308&lt;=10),"Proficient",D308&gt;10,"Expert")</f>
        <v>Proficient</v>
      </c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 t="str" cm="1">
        <f t="array" ref="M308">_xlfn.IFS(L308="Retirement","Voluntary",L308="Resignation","Voluntary",L308="Layoff","InVoluntary")</f>
        <v>Voluntary</v>
      </c>
      <c r="N308" s="4" t="s">
        <v>26</v>
      </c>
      <c r="O308" s="41"/>
      <c r="P308">
        <v>1</v>
      </c>
      <c r="Q308" t="s">
        <v>173</v>
      </c>
    </row>
    <row r="309" spans="1:17" x14ac:dyDescent="0.35">
      <c r="A309" s="4">
        <v>2552</v>
      </c>
      <c r="B309" s="5">
        <v>38467</v>
      </c>
      <c r="C309" s="5">
        <v>44074</v>
      </c>
      <c r="D309" s="4">
        <v>15</v>
      </c>
      <c r="E309" s="6" t="str" cm="1">
        <f t="array" ref="E309">_xlfn.IFS(D309&lt;=5,"Newcomer",AND(D309&gt;=6,D309&lt;=10),"Proficient",D309&gt;10,"Expert")</f>
        <v>Expert</v>
      </c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 t="str" cm="1">
        <f t="array" ref="M309">_xlfn.IFS(L309="Retirement","Voluntary",L309="Resignation","Voluntary",L309="Layoff","InVoluntary")</f>
        <v>InVoluntary</v>
      </c>
      <c r="N309" s="4" t="s">
        <v>26</v>
      </c>
      <c r="O309" s="41"/>
      <c r="P309">
        <v>1</v>
      </c>
      <c r="Q309" t="s">
        <v>174</v>
      </c>
    </row>
    <row r="310" spans="1:17" x14ac:dyDescent="0.35">
      <c r="A310" s="4">
        <v>2558</v>
      </c>
      <c r="B310" s="5">
        <v>36167</v>
      </c>
      <c r="C310" s="5">
        <v>44015</v>
      </c>
      <c r="D310" s="4">
        <v>21</v>
      </c>
      <c r="E310" s="6" t="str" cm="1">
        <f t="array" ref="E310">_xlfn.IFS(D310&lt;=5,"Newcomer",AND(D310&gt;=6,D310&lt;=10),"Proficient",D310&gt;10,"Expert")</f>
        <v>Expert</v>
      </c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 t="str" cm="1">
        <f t="array" ref="M310">_xlfn.IFS(L310="Retirement","Voluntary",L310="Resignation","Voluntary",L310="Layoff","InVoluntary")</f>
        <v>Voluntary</v>
      </c>
      <c r="N310" s="4" t="s">
        <v>26</v>
      </c>
      <c r="O310" s="41"/>
      <c r="P310">
        <v>1</v>
      </c>
      <c r="Q310" t="s">
        <v>173</v>
      </c>
    </row>
    <row r="311" spans="1:17" x14ac:dyDescent="0.35">
      <c r="A311" s="4">
        <v>2567</v>
      </c>
      <c r="B311" s="5">
        <v>38509</v>
      </c>
      <c r="C311" s="5">
        <v>43999</v>
      </c>
      <c r="D311" s="4">
        <v>15</v>
      </c>
      <c r="E311" s="6" t="str" cm="1">
        <f t="array" ref="E311">_xlfn.IFS(D311&lt;=5,"Newcomer",AND(D311&gt;=6,D311&lt;=10),"Proficient",D311&gt;10,"Expert")</f>
        <v>Expert</v>
      </c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 t="str" cm="1">
        <f t="array" ref="M311">_xlfn.IFS(L311="Retirement","Voluntary",L311="Resignation","Voluntary",L311="Layoff","InVoluntary")</f>
        <v>Voluntary</v>
      </c>
      <c r="N311" s="4" t="s">
        <v>26</v>
      </c>
      <c r="O311" s="41"/>
      <c r="P311">
        <v>1</v>
      </c>
      <c r="Q311" t="s">
        <v>173</v>
      </c>
    </row>
    <row r="312" spans="1:17" x14ac:dyDescent="0.35">
      <c r="A312" s="4">
        <v>2568</v>
      </c>
      <c r="B312" s="5">
        <v>33290</v>
      </c>
      <c r="C312" s="5">
        <v>44113</v>
      </c>
      <c r="D312" s="4">
        <v>29</v>
      </c>
      <c r="E312" s="6" t="str" cm="1">
        <f t="array" ref="E312">_xlfn.IFS(D312&lt;=5,"Newcomer",AND(D312&gt;=6,D312&lt;=10),"Proficient",D312&gt;10,"Expert")</f>
        <v>Expert</v>
      </c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 t="str" cm="1">
        <f t="array" ref="M312">_xlfn.IFS(L312="Retirement","Voluntary",L312="Resignation","Voluntary",L312="Layoff","InVoluntary")</f>
        <v>Voluntary</v>
      </c>
      <c r="N312" s="4" t="s">
        <v>26</v>
      </c>
      <c r="O312" s="41"/>
      <c r="P312">
        <v>1</v>
      </c>
      <c r="Q312" t="s">
        <v>173</v>
      </c>
    </row>
    <row r="313" spans="1:17" x14ac:dyDescent="0.35">
      <c r="A313" s="4">
        <v>2575</v>
      </c>
      <c r="B313" s="5">
        <v>35443</v>
      </c>
      <c r="C313" s="5">
        <v>44150</v>
      </c>
      <c r="D313" s="4">
        <v>23</v>
      </c>
      <c r="E313" s="6" t="str" cm="1">
        <f t="array" ref="E313">_xlfn.IFS(D313&lt;=5,"Newcomer",AND(D313&gt;=6,D313&lt;=10),"Proficient",D313&gt;10,"Expert")</f>
        <v>Expert</v>
      </c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 t="str" cm="1">
        <f t="array" ref="M313">_xlfn.IFS(L313="Retirement","Voluntary",L313="Resignation","Voluntary",L313="Layoff","InVoluntary")</f>
        <v>Voluntary</v>
      </c>
      <c r="N313" s="4" t="s">
        <v>26</v>
      </c>
      <c r="O313" s="41"/>
      <c r="P313">
        <v>1</v>
      </c>
      <c r="Q313" t="s">
        <v>173</v>
      </c>
    </row>
    <row r="314" spans="1:17" x14ac:dyDescent="0.35">
      <c r="A314" s="4">
        <v>2578</v>
      </c>
      <c r="B314" s="5">
        <v>40497</v>
      </c>
      <c r="C314" s="5">
        <v>43970</v>
      </c>
      <c r="D314" s="4">
        <v>10</v>
      </c>
      <c r="E314" s="6" t="str" cm="1">
        <f t="array" ref="E314">_xlfn.IFS(D314&lt;=5,"Newcomer",AND(D314&gt;=6,D314&lt;=10),"Proficient",D314&gt;10,"Expert")</f>
        <v>Proficient</v>
      </c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 t="str" cm="1">
        <f t="array" ref="M314">_xlfn.IFS(L314="Retirement","Voluntary",L314="Resignation","Voluntary",L314="Layoff","InVoluntary")</f>
        <v>Voluntary</v>
      </c>
      <c r="N314" s="4" t="s">
        <v>26</v>
      </c>
      <c r="O314" s="41"/>
      <c r="P314">
        <v>1</v>
      </c>
      <c r="Q314" t="s">
        <v>173</v>
      </c>
    </row>
    <row r="315" spans="1:17" x14ac:dyDescent="0.35">
      <c r="A315" s="4">
        <v>2579</v>
      </c>
      <c r="B315" s="5">
        <v>34487</v>
      </c>
      <c r="C315" s="5">
        <v>43952</v>
      </c>
      <c r="D315" s="4">
        <v>26</v>
      </c>
      <c r="E315" s="6" t="str" cm="1">
        <f t="array" ref="E315">_xlfn.IFS(D315&lt;=5,"Newcomer",AND(D315&gt;=6,D315&lt;=10),"Proficient",D315&gt;10,"Expert")</f>
        <v>Expert</v>
      </c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 t="str" cm="1">
        <f t="array" ref="M315">_xlfn.IFS(L315="Retirement","Voluntary",L315="Resignation","Voluntary",L315="Layoff","InVoluntary")</f>
        <v>Voluntary</v>
      </c>
      <c r="N315" s="4" t="s">
        <v>26</v>
      </c>
      <c r="O315" s="41"/>
      <c r="P315">
        <v>1</v>
      </c>
      <c r="Q315" t="s">
        <v>173</v>
      </c>
    </row>
    <row r="316" spans="1:17" x14ac:dyDescent="0.35">
      <c r="A316" s="4">
        <v>2588</v>
      </c>
      <c r="B316" s="5">
        <v>38909</v>
      </c>
      <c r="C316" s="5">
        <v>43896</v>
      </c>
      <c r="D316" s="4">
        <v>14</v>
      </c>
      <c r="E316" s="6" t="str" cm="1">
        <f t="array" ref="E316">_xlfn.IFS(D316&lt;=5,"Newcomer",AND(D316&gt;=6,D316&lt;=10),"Proficient",D316&gt;10,"Expert")</f>
        <v>Expert</v>
      </c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 t="str" cm="1">
        <f t="array" ref="M316">_xlfn.IFS(L316="Retirement","Voluntary",L316="Resignation","Voluntary",L316="Layoff","InVoluntary")</f>
        <v>Voluntary</v>
      </c>
      <c r="N316" s="4" t="s">
        <v>26</v>
      </c>
      <c r="O316" s="41"/>
      <c r="P316">
        <v>1</v>
      </c>
      <c r="Q316" t="s">
        <v>173</v>
      </c>
    </row>
    <row r="317" spans="1:17" x14ac:dyDescent="0.35">
      <c r="A317" s="4">
        <v>2591</v>
      </c>
      <c r="B317" s="5">
        <v>37426</v>
      </c>
      <c r="C317" s="5">
        <v>43968</v>
      </c>
      <c r="D317" s="4">
        <v>18</v>
      </c>
      <c r="E317" s="6" t="str" cm="1">
        <f t="array" ref="E317">_xlfn.IFS(D317&lt;=5,"Newcomer",AND(D317&gt;=6,D317&lt;=10),"Proficient",D317&gt;10,"Expert")</f>
        <v>Expert</v>
      </c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 t="str" cm="1">
        <f t="array" ref="M317">_xlfn.IFS(L317="Retirement","Voluntary",L317="Resignation","Voluntary",L317="Layoff","InVoluntary")</f>
        <v>Voluntary</v>
      </c>
      <c r="N317" s="4" t="s">
        <v>26</v>
      </c>
      <c r="O317" s="41"/>
      <c r="P317">
        <v>1</v>
      </c>
      <c r="Q317" t="s">
        <v>173</v>
      </c>
    </row>
    <row r="318" spans="1:17" x14ac:dyDescent="0.35">
      <c r="A318" s="4">
        <v>2595</v>
      </c>
      <c r="B318" s="5">
        <v>34654</v>
      </c>
      <c r="C318" s="5">
        <v>44013</v>
      </c>
      <c r="D318" s="4">
        <v>26</v>
      </c>
      <c r="E318" s="6" t="str" cm="1">
        <f t="array" ref="E318">_xlfn.IFS(D318&lt;=5,"Newcomer",AND(D318&gt;=6,D318&lt;=10),"Proficient",D318&gt;10,"Expert")</f>
        <v>Expert</v>
      </c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 t="str" cm="1">
        <f t="array" ref="M318">_xlfn.IFS(L318="Retirement","Voluntary",L318="Resignation","Voluntary",L318="Layoff","InVoluntary")</f>
        <v>Voluntary</v>
      </c>
      <c r="N318" s="4" t="s">
        <v>26</v>
      </c>
      <c r="O318" s="41"/>
      <c r="P318">
        <v>1</v>
      </c>
      <c r="Q318" t="s">
        <v>173</v>
      </c>
    </row>
    <row r="319" spans="1:17" x14ac:dyDescent="0.35">
      <c r="A319" s="4">
        <v>2597</v>
      </c>
      <c r="B319" s="5">
        <v>36611</v>
      </c>
      <c r="C319" s="5">
        <v>44064</v>
      </c>
      <c r="D319" s="4">
        <v>20</v>
      </c>
      <c r="E319" s="6" t="str" cm="1">
        <f t="array" ref="E319">_xlfn.IFS(D319&lt;=5,"Newcomer",AND(D319&gt;=6,D319&lt;=10),"Proficient",D319&gt;10,"Expert")</f>
        <v>Expert</v>
      </c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 t="str" cm="1">
        <f t="array" ref="M319">_xlfn.IFS(L319="Retirement","Voluntary",L319="Resignation","Voluntary",L319="Layoff","InVoluntary")</f>
        <v>Voluntary</v>
      </c>
      <c r="N319" s="4" t="s">
        <v>26</v>
      </c>
      <c r="O319" s="41"/>
      <c r="P319">
        <v>1</v>
      </c>
      <c r="Q319" t="s">
        <v>173</v>
      </c>
    </row>
    <row r="320" spans="1:17" x14ac:dyDescent="0.35">
      <c r="A320" s="4">
        <v>2598</v>
      </c>
      <c r="B320" s="5">
        <v>40578</v>
      </c>
      <c r="C320" s="5">
        <v>44034</v>
      </c>
      <c r="D320" s="4">
        <v>9</v>
      </c>
      <c r="E320" s="6" t="str" cm="1">
        <f t="array" ref="E320">_xlfn.IFS(D320&lt;=5,"Newcomer",AND(D320&gt;=6,D320&lt;=10),"Proficient",D320&gt;10,"Expert")</f>
        <v>Proficient</v>
      </c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 t="str" cm="1">
        <f t="array" ref="M320">_xlfn.IFS(L320="Retirement","Voluntary",L320="Resignation","Voluntary",L320="Layoff","InVoluntary")</f>
        <v>Voluntary</v>
      </c>
      <c r="N320" s="4" t="s">
        <v>26</v>
      </c>
      <c r="O320" s="41"/>
      <c r="P320">
        <v>1</v>
      </c>
      <c r="Q320" t="s">
        <v>173</v>
      </c>
    </row>
    <row r="321" spans="1:17" x14ac:dyDescent="0.35">
      <c r="A321" s="4">
        <v>2599</v>
      </c>
      <c r="B321" s="5">
        <v>39307</v>
      </c>
      <c r="C321" s="5">
        <v>43851</v>
      </c>
      <c r="D321" s="4">
        <v>13</v>
      </c>
      <c r="E321" s="6" t="str" cm="1">
        <f t="array" ref="E321">_xlfn.IFS(D321&lt;=5,"Newcomer",AND(D321&gt;=6,D321&lt;=10),"Proficient",D321&gt;10,"Expert")</f>
        <v>Expert</v>
      </c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 t="str" cm="1">
        <f t="array" ref="M321">_xlfn.IFS(L321="Retirement","Voluntary",L321="Resignation","Voluntary",L321="Layoff","InVoluntary")</f>
        <v>Voluntary</v>
      </c>
      <c r="N321" s="4" t="s">
        <v>26</v>
      </c>
      <c r="O321" s="41"/>
      <c r="P321">
        <v>1</v>
      </c>
      <c r="Q321" t="s">
        <v>173</v>
      </c>
    </row>
    <row r="322" spans="1:17" x14ac:dyDescent="0.35">
      <c r="A322" s="4">
        <v>2608</v>
      </c>
      <c r="B322" s="5">
        <v>40775</v>
      </c>
      <c r="C322" s="5">
        <v>43889</v>
      </c>
      <c r="D322" s="4">
        <v>9</v>
      </c>
      <c r="E322" s="6" t="str" cm="1">
        <f t="array" ref="E322">_xlfn.IFS(D322&lt;=5,"Newcomer",AND(D322&gt;=6,D322&lt;=10),"Proficient",D322&gt;10,"Expert")</f>
        <v>Proficient</v>
      </c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 t="str" cm="1">
        <f t="array" ref="M322">_xlfn.IFS(L322="Retirement","Voluntary",L322="Resignation","Voluntary",L322="Layoff","InVoluntary")</f>
        <v>Voluntary</v>
      </c>
      <c r="N322" s="4" t="s">
        <v>26</v>
      </c>
      <c r="O322" s="41"/>
      <c r="P322">
        <v>1</v>
      </c>
      <c r="Q322" t="s">
        <v>173</v>
      </c>
    </row>
    <row r="323" spans="1:17" x14ac:dyDescent="0.35">
      <c r="A323" s="4">
        <v>2609</v>
      </c>
      <c r="B323" s="5">
        <v>38977</v>
      </c>
      <c r="C323" s="5">
        <v>43994</v>
      </c>
      <c r="D323" s="4">
        <v>14</v>
      </c>
      <c r="E323" s="6" t="str" cm="1">
        <f t="array" ref="E323">_xlfn.IFS(D323&lt;=5,"Newcomer",AND(D323&gt;=6,D323&lt;=10),"Proficient",D323&gt;10,"Expert")</f>
        <v>Expert</v>
      </c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 t="str" cm="1">
        <f t="array" ref="M323">_xlfn.IFS(L323="Retirement","Voluntary",L323="Resignation","Voluntary",L323="Layoff","InVoluntary")</f>
        <v>InVoluntary</v>
      </c>
      <c r="N323" s="4" t="s">
        <v>26</v>
      </c>
      <c r="O323" s="41"/>
      <c r="P323">
        <v>1</v>
      </c>
      <c r="Q323" t="s">
        <v>174</v>
      </c>
    </row>
    <row r="324" spans="1:17" x14ac:dyDescent="0.35">
      <c r="A324" s="4">
        <v>2640</v>
      </c>
      <c r="B324" s="5">
        <v>35577</v>
      </c>
      <c r="C324" s="5">
        <v>43875</v>
      </c>
      <c r="D324" s="4">
        <v>23</v>
      </c>
      <c r="E324" s="6" t="str" cm="1">
        <f t="array" ref="E324">_xlfn.IFS(D324&lt;=5,"Newcomer",AND(D324&gt;=6,D324&lt;=10),"Proficient",D324&gt;10,"Expert")</f>
        <v>Expert</v>
      </c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 t="str" cm="1">
        <f t="array" ref="M324">_xlfn.IFS(L324="Retirement","Voluntary",L324="Resignation","Voluntary",L324="Layoff","InVoluntary")</f>
        <v>InVoluntary</v>
      </c>
      <c r="N324" s="4" t="s">
        <v>26</v>
      </c>
      <c r="O324" s="41"/>
      <c r="P324">
        <v>1</v>
      </c>
      <c r="Q324" t="s">
        <v>174</v>
      </c>
    </row>
    <row r="325" spans="1:17" x14ac:dyDescent="0.35">
      <c r="A325" s="4">
        <v>2645</v>
      </c>
      <c r="B325" s="5">
        <v>38451</v>
      </c>
      <c r="C325" s="5">
        <v>44085</v>
      </c>
      <c r="D325" s="4">
        <v>15</v>
      </c>
      <c r="E325" s="6" t="str" cm="1">
        <f t="array" ref="E325">_xlfn.IFS(D325&lt;=5,"Newcomer",AND(D325&gt;=6,D325&lt;=10),"Proficient",D325&gt;10,"Expert")</f>
        <v>Expert</v>
      </c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 t="str" cm="1">
        <f t="array" ref="M325">_xlfn.IFS(L325="Retirement","Voluntary",L325="Resignation","Voluntary",L325="Layoff","InVoluntary")</f>
        <v>Voluntary</v>
      </c>
      <c r="N325" s="4" t="s">
        <v>26</v>
      </c>
      <c r="O325" s="41"/>
      <c r="P325">
        <v>1</v>
      </c>
      <c r="Q325" t="s">
        <v>173</v>
      </c>
    </row>
    <row r="326" spans="1:17" x14ac:dyDescent="0.35">
      <c r="A326" s="4">
        <v>2650</v>
      </c>
      <c r="B326" s="5">
        <v>40624</v>
      </c>
      <c r="C326" s="5">
        <v>43867</v>
      </c>
      <c r="D326" s="4">
        <v>9</v>
      </c>
      <c r="E326" s="6" t="str" cm="1">
        <f t="array" ref="E326">_xlfn.IFS(D326&lt;=5,"Newcomer",AND(D326&gt;=6,D326&lt;=10),"Proficient",D326&gt;10,"Expert")</f>
        <v>Proficient</v>
      </c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 t="str" cm="1">
        <f t="array" ref="M326">_xlfn.IFS(L326="Retirement","Voluntary",L326="Resignation","Voluntary",L326="Layoff","InVoluntary")</f>
        <v>Voluntary</v>
      </c>
      <c r="N326" s="4" t="s">
        <v>26</v>
      </c>
      <c r="O326" s="41"/>
      <c r="P326">
        <v>1</v>
      </c>
      <c r="Q326" t="s">
        <v>173</v>
      </c>
    </row>
    <row r="327" spans="1:17" x14ac:dyDescent="0.35">
      <c r="A327" s="4">
        <v>2651</v>
      </c>
      <c r="B327" s="5">
        <v>35161</v>
      </c>
      <c r="C327" s="5">
        <v>44092</v>
      </c>
      <c r="D327" s="4">
        <v>24</v>
      </c>
      <c r="E327" s="6" t="str" cm="1">
        <f t="array" ref="E327">_xlfn.IFS(D327&lt;=5,"Newcomer",AND(D327&gt;=6,D327&lt;=10),"Proficient",D327&gt;10,"Expert")</f>
        <v>Expert</v>
      </c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 t="str" cm="1">
        <f t="array" ref="M327">_xlfn.IFS(L327="Retirement","Voluntary",L327="Resignation","Voluntary",L327="Layoff","InVoluntary")</f>
        <v>Voluntary</v>
      </c>
      <c r="N327" s="4" t="s">
        <v>26</v>
      </c>
      <c r="O327" s="41"/>
      <c r="P327">
        <v>1</v>
      </c>
      <c r="Q327" t="s">
        <v>173</v>
      </c>
    </row>
    <row r="328" spans="1:17" x14ac:dyDescent="0.35">
      <c r="A328" s="4">
        <v>2652</v>
      </c>
      <c r="B328" s="5">
        <v>33494</v>
      </c>
      <c r="C328" s="5">
        <v>43855</v>
      </c>
      <c r="D328" s="4">
        <v>29</v>
      </c>
      <c r="E328" s="6" t="str" cm="1">
        <f t="array" ref="E328">_xlfn.IFS(D328&lt;=5,"Newcomer",AND(D328&gt;=6,D328&lt;=10),"Proficient",D328&gt;10,"Expert")</f>
        <v>Expert</v>
      </c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 t="str" cm="1">
        <f t="array" ref="M328">_xlfn.IFS(L328="Retirement","Voluntary",L328="Resignation","Voluntary",L328="Layoff","InVoluntary")</f>
        <v>Voluntary</v>
      </c>
      <c r="N328" s="4" t="s">
        <v>26</v>
      </c>
      <c r="O328" s="41"/>
      <c r="P328">
        <v>1</v>
      </c>
      <c r="Q328" t="s">
        <v>173</v>
      </c>
    </row>
    <row r="329" spans="1:17" x14ac:dyDescent="0.35">
      <c r="A329" s="4">
        <v>2667</v>
      </c>
      <c r="B329" s="5">
        <v>33406</v>
      </c>
      <c r="C329" s="5">
        <v>44001</v>
      </c>
      <c r="D329" s="4">
        <v>29</v>
      </c>
      <c r="E329" s="6" t="str" cm="1">
        <f t="array" ref="E329">_xlfn.IFS(D329&lt;=5,"Newcomer",AND(D329&gt;=6,D329&lt;=10),"Proficient",D329&gt;10,"Expert")</f>
        <v>Expert</v>
      </c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 t="str" cm="1">
        <f t="array" ref="M329">_xlfn.IFS(L329="Retirement","Voluntary",L329="Resignation","Voluntary",L329="Layoff","InVoluntary")</f>
        <v>Voluntary</v>
      </c>
      <c r="N329" s="4" t="s">
        <v>26</v>
      </c>
      <c r="O329" s="41"/>
      <c r="P329">
        <v>1</v>
      </c>
      <c r="Q329" t="s">
        <v>173</v>
      </c>
    </row>
    <row r="330" spans="1:17" x14ac:dyDescent="0.35">
      <c r="A330" s="4">
        <v>2668</v>
      </c>
      <c r="B330" s="5">
        <v>39993</v>
      </c>
      <c r="C330" s="5">
        <v>43906</v>
      </c>
      <c r="D330" s="4">
        <v>11</v>
      </c>
      <c r="E330" s="6" t="str" cm="1">
        <f t="array" ref="E330">_xlfn.IFS(D330&lt;=5,"Newcomer",AND(D330&gt;=6,D330&lt;=10),"Proficient",D330&gt;10,"Expert")</f>
        <v>Expert</v>
      </c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 t="str" cm="1">
        <f t="array" ref="M330">_xlfn.IFS(L330="Retirement","Voluntary",L330="Resignation","Voluntary",L330="Layoff","InVoluntary")</f>
        <v>Voluntary</v>
      </c>
      <c r="N330" s="4" t="s">
        <v>26</v>
      </c>
      <c r="O330" s="41"/>
      <c r="P330">
        <v>1</v>
      </c>
      <c r="Q330" t="s">
        <v>173</v>
      </c>
    </row>
    <row r="331" spans="1:17" x14ac:dyDescent="0.35">
      <c r="A331" s="4">
        <v>2670</v>
      </c>
      <c r="B331" s="5">
        <v>41130</v>
      </c>
      <c r="C331" s="5">
        <v>43842</v>
      </c>
      <c r="D331" s="4">
        <v>8</v>
      </c>
      <c r="E331" s="6" t="str" cm="1">
        <f t="array" ref="E331">_xlfn.IFS(D331&lt;=5,"Newcomer",AND(D331&gt;=6,D331&lt;=10),"Proficient",D331&gt;10,"Expert")</f>
        <v>Proficient</v>
      </c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 t="str" cm="1">
        <f t="array" ref="M331">_xlfn.IFS(L331="Retirement","Voluntary",L331="Resignation","Voluntary",L331="Layoff","InVoluntary")</f>
        <v>Voluntary</v>
      </c>
      <c r="N331" s="4" t="s">
        <v>26</v>
      </c>
      <c r="O331" s="41"/>
      <c r="P331">
        <v>1</v>
      </c>
      <c r="Q331" t="s">
        <v>173</v>
      </c>
    </row>
    <row r="332" spans="1:17" x14ac:dyDescent="0.35">
      <c r="A332" s="4">
        <v>2674</v>
      </c>
      <c r="B332" s="5">
        <v>38868</v>
      </c>
      <c r="C332" s="5">
        <v>44141</v>
      </c>
      <c r="D332" s="4">
        <v>14</v>
      </c>
      <c r="E332" s="6" t="str" cm="1">
        <f t="array" ref="E332">_xlfn.IFS(D332&lt;=5,"Newcomer",AND(D332&gt;=6,D332&lt;=10),"Proficient",D332&gt;10,"Expert")</f>
        <v>Expert</v>
      </c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 t="str" cm="1">
        <f t="array" ref="M332">_xlfn.IFS(L332="Retirement","Voluntary",L332="Resignation","Voluntary",L332="Layoff","InVoluntary")</f>
        <v>Voluntary</v>
      </c>
      <c r="N332" s="4" t="s">
        <v>26</v>
      </c>
      <c r="O332" s="41"/>
      <c r="P332">
        <v>1</v>
      </c>
      <c r="Q332" t="s">
        <v>173</v>
      </c>
    </row>
    <row r="333" spans="1:17" x14ac:dyDescent="0.35">
      <c r="A333" s="4">
        <v>2675</v>
      </c>
      <c r="B333" s="5">
        <v>34392</v>
      </c>
      <c r="C333" s="5">
        <v>44020</v>
      </c>
      <c r="D333" s="4">
        <v>26</v>
      </c>
      <c r="E333" s="6" t="str" cm="1">
        <f t="array" ref="E333">_xlfn.IFS(D333&lt;=5,"Newcomer",AND(D333&gt;=6,D333&lt;=10),"Proficient",D333&gt;10,"Expert")</f>
        <v>Expert</v>
      </c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 t="str" cm="1">
        <f t="array" ref="M333">_xlfn.IFS(L333="Retirement","Voluntary",L333="Resignation","Voluntary",L333="Layoff","InVoluntary")</f>
        <v>Voluntary</v>
      </c>
      <c r="N333" s="4" t="s">
        <v>26</v>
      </c>
      <c r="O333" s="41"/>
      <c r="P333">
        <v>1</v>
      </c>
      <c r="Q333" t="s">
        <v>173</v>
      </c>
    </row>
    <row r="334" spans="1:17" x14ac:dyDescent="0.35">
      <c r="A334" s="4">
        <v>2679</v>
      </c>
      <c r="B334" s="5">
        <v>37553</v>
      </c>
      <c r="C334" s="5">
        <v>44166</v>
      </c>
      <c r="D334" s="4">
        <v>18</v>
      </c>
      <c r="E334" s="6" t="str" cm="1">
        <f t="array" ref="E334">_xlfn.IFS(D334&lt;=5,"Newcomer",AND(D334&gt;=6,D334&lt;=10),"Proficient",D334&gt;10,"Expert")</f>
        <v>Expert</v>
      </c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 t="str" cm="1">
        <f t="array" ref="M334">_xlfn.IFS(L334="Retirement","Voluntary",L334="Resignation","Voluntary",L334="Layoff","InVoluntary")</f>
        <v>InVoluntary</v>
      </c>
      <c r="N334" s="4" t="s">
        <v>26</v>
      </c>
      <c r="O334" s="41"/>
      <c r="P334">
        <v>1</v>
      </c>
      <c r="Q334" t="s">
        <v>174</v>
      </c>
    </row>
    <row r="335" spans="1:17" x14ac:dyDescent="0.35">
      <c r="A335" s="4">
        <v>2681</v>
      </c>
      <c r="B335" s="5">
        <v>37941</v>
      </c>
      <c r="C335" s="5">
        <v>43964</v>
      </c>
      <c r="D335" s="4">
        <v>17</v>
      </c>
      <c r="E335" s="6" t="str" cm="1">
        <f t="array" ref="E335">_xlfn.IFS(D335&lt;=5,"Newcomer",AND(D335&gt;=6,D335&lt;=10),"Proficient",D335&gt;10,"Expert")</f>
        <v>Expert</v>
      </c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 t="str" cm="1">
        <f t="array" ref="M335">_xlfn.IFS(L335="Retirement","Voluntary",L335="Resignation","Voluntary",L335="Layoff","InVoluntary")</f>
        <v>Voluntary</v>
      </c>
      <c r="N335" s="4" t="s">
        <v>26</v>
      </c>
      <c r="O335" s="41"/>
      <c r="P335">
        <v>1</v>
      </c>
      <c r="Q335" t="s">
        <v>173</v>
      </c>
    </row>
    <row r="336" spans="1:17" x14ac:dyDescent="0.35">
      <c r="A336" s="4">
        <v>2689</v>
      </c>
      <c r="B336" s="5">
        <v>35388</v>
      </c>
      <c r="C336" s="5">
        <v>44110</v>
      </c>
      <c r="D336" s="4">
        <v>24</v>
      </c>
      <c r="E336" s="6" t="str" cm="1">
        <f t="array" ref="E336">_xlfn.IFS(D336&lt;=5,"Newcomer",AND(D336&gt;=6,D336&lt;=10),"Proficient",D336&gt;10,"Expert")</f>
        <v>Expert</v>
      </c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 t="str" cm="1">
        <f t="array" ref="M336">_xlfn.IFS(L336="Retirement","Voluntary",L336="Resignation","Voluntary",L336="Layoff","InVoluntary")</f>
        <v>Voluntary</v>
      </c>
      <c r="N336" s="4" t="s">
        <v>26</v>
      </c>
      <c r="O336" s="41"/>
      <c r="P336">
        <v>1</v>
      </c>
      <c r="Q336" t="s">
        <v>173</v>
      </c>
    </row>
    <row r="337" spans="1:17" x14ac:dyDescent="0.35">
      <c r="A337" s="4">
        <v>2696</v>
      </c>
      <c r="B337" s="5">
        <v>35286</v>
      </c>
      <c r="C337" s="5">
        <v>44182</v>
      </c>
      <c r="D337" s="4">
        <v>24</v>
      </c>
      <c r="E337" s="6" t="str" cm="1">
        <f t="array" ref="E337">_xlfn.IFS(D337&lt;=5,"Newcomer",AND(D337&gt;=6,D337&lt;=10),"Proficient",D337&gt;10,"Expert")</f>
        <v>Expert</v>
      </c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 t="str" cm="1">
        <f t="array" ref="M337">_xlfn.IFS(L337="Retirement","Voluntary",L337="Resignation","Voluntary",L337="Layoff","InVoluntary")</f>
        <v>Voluntary</v>
      </c>
      <c r="N337" s="4" t="s">
        <v>26</v>
      </c>
      <c r="O337" s="41"/>
      <c r="P337">
        <v>1</v>
      </c>
      <c r="Q337" t="s">
        <v>173</v>
      </c>
    </row>
    <row r="338" spans="1:17" x14ac:dyDescent="0.35">
      <c r="A338" s="4">
        <v>2701</v>
      </c>
      <c r="B338" s="5">
        <v>34836</v>
      </c>
      <c r="C338" s="5">
        <v>43912</v>
      </c>
      <c r="D338" s="4">
        <v>25</v>
      </c>
      <c r="E338" s="6" t="str" cm="1">
        <f t="array" ref="E338">_xlfn.IFS(D338&lt;=5,"Newcomer",AND(D338&gt;=6,D338&lt;=10),"Proficient",D338&gt;10,"Expert")</f>
        <v>Expert</v>
      </c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 t="str" cm="1">
        <f t="array" ref="M338">_xlfn.IFS(L338="Retirement","Voluntary",L338="Resignation","Voluntary",L338="Layoff","InVoluntary")</f>
        <v>Voluntary</v>
      </c>
      <c r="N338" s="4" t="s">
        <v>26</v>
      </c>
      <c r="O338" s="41"/>
      <c r="P338">
        <v>1</v>
      </c>
      <c r="Q338" t="s">
        <v>173</v>
      </c>
    </row>
    <row r="339" spans="1:17" x14ac:dyDescent="0.35">
      <c r="A339" s="4">
        <v>2702</v>
      </c>
      <c r="B339" s="5">
        <v>33704</v>
      </c>
      <c r="C339" s="5">
        <v>44185</v>
      </c>
      <c r="D339" s="4">
        <v>28</v>
      </c>
      <c r="E339" s="6" t="str" cm="1">
        <f t="array" ref="E339">_xlfn.IFS(D339&lt;=5,"Newcomer",AND(D339&gt;=6,D339&lt;=10),"Proficient",D339&gt;10,"Expert")</f>
        <v>Expert</v>
      </c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 t="str" cm="1">
        <f t="array" ref="M339">_xlfn.IFS(L339="Retirement","Voluntary",L339="Resignation","Voluntary",L339="Layoff","InVoluntary")</f>
        <v>Voluntary</v>
      </c>
      <c r="N339" s="4" t="s">
        <v>26</v>
      </c>
      <c r="O339" s="41"/>
      <c r="P339">
        <v>1</v>
      </c>
      <c r="Q339" t="s">
        <v>173</v>
      </c>
    </row>
    <row r="340" spans="1:17" x14ac:dyDescent="0.35">
      <c r="A340" s="4">
        <v>2703</v>
      </c>
      <c r="B340" s="5">
        <v>37660</v>
      </c>
      <c r="C340" s="5">
        <v>44083</v>
      </c>
      <c r="D340" s="4">
        <v>17</v>
      </c>
      <c r="E340" s="6" t="str" cm="1">
        <f t="array" ref="E340">_xlfn.IFS(D340&lt;=5,"Newcomer",AND(D340&gt;=6,D340&lt;=10),"Proficient",D340&gt;10,"Expert")</f>
        <v>Expert</v>
      </c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 t="str" cm="1">
        <f t="array" ref="M340">_xlfn.IFS(L340="Retirement","Voluntary",L340="Resignation","Voluntary",L340="Layoff","InVoluntary")</f>
        <v>Voluntary</v>
      </c>
      <c r="N340" s="4" t="s">
        <v>26</v>
      </c>
      <c r="O340" s="41"/>
      <c r="P340">
        <v>1</v>
      </c>
      <c r="Q340" t="s">
        <v>173</v>
      </c>
    </row>
    <row r="341" spans="1:17" x14ac:dyDescent="0.35">
      <c r="A341" s="4">
        <v>2705</v>
      </c>
      <c r="B341" s="5">
        <v>36966</v>
      </c>
      <c r="C341" s="5">
        <v>44100</v>
      </c>
      <c r="D341" s="4">
        <v>19</v>
      </c>
      <c r="E341" s="6" t="str" cm="1">
        <f t="array" ref="E341">_xlfn.IFS(D341&lt;=5,"Newcomer",AND(D341&gt;=6,D341&lt;=10),"Proficient",D341&gt;10,"Expert")</f>
        <v>Expert</v>
      </c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 t="str" cm="1">
        <f t="array" ref="M341">_xlfn.IFS(L341="Retirement","Voluntary",L341="Resignation","Voluntary",L341="Layoff","InVoluntary")</f>
        <v>Voluntary</v>
      </c>
      <c r="N341" s="4" t="s">
        <v>26</v>
      </c>
      <c r="O341" s="41"/>
      <c r="P341">
        <v>1</v>
      </c>
      <c r="Q341" t="s">
        <v>173</v>
      </c>
    </row>
    <row r="342" spans="1:17" x14ac:dyDescent="0.35">
      <c r="A342" s="4">
        <v>2708</v>
      </c>
      <c r="B342" s="5">
        <v>42096</v>
      </c>
      <c r="C342" s="5">
        <v>43861</v>
      </c>
      <c r="D342" s="4">
        <v>5</v>
      </c>
      <c r="E342" s="6" t="str" cm="1">
        <f t="array" ref="E342">_xlfn.IFS(D342&lt;=5,"Newcomer",AND(D342&gt;=6,D342&lt;=10),"Proficient",D342&gt;10,"Expert")</f>
        <v>Newcomer</v>
      </c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 t="str" cm="1">
        <f t="array" ref="M342">_xlfn.IFS(L342="Retirement","Voluntary",L342="Resignation","Voluntary",L342="Layoff","InVoluntary")</f>
        <v>Voluntary</v>
      </c>
      <c r="N342" s="4" t="s">
        <v>26</v>
      </c>
      <c r="O342" s="41"/>
      <c r="P342">
        <v>1</v>
      </c>
      <c r="Q342" t="s">
        <v>173</v>
      </c>
    </row>
    <row r="343" spans="1:17" x14ac:dyDescent="0.35">
      <c r="A343" s="4">
        <v>2716</v>
      </c>
      <c r="B343" s="5">
        <v>37451</v>
      </c>
      <c r="C343" s="5">
        <v>43932</v>
      </c>
      <c r="D343" s="4">
        <v>18</v>
      </c>
      <c r="E343" s="6" t="str" cm="1">
        <f t="array" ref="E343">_xlfn.IFS(D343&lt;=5,"Newcomer",AND(D343&gt;=6,D343&lt;=10),"Proficient",D343&gt;10,"Expert")</f>
        <v>Expert</v>
      </c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 t="str" cm="1">
        <f t="array" ref="M343">_xlfn.IFS(L343="Retirement","Voluntary",L343="Resignation","Voluntary",L343="Layoff","InVoluntary")</f>
        <v>Voluntary</v>
      </c>
      <c r="N343" s="4" t="s">
        <v>26</v>
      </c>
      <c r="O343" s="41"/>
      <c r="P343">
        <v>1</v>
      </c>
      <c r="Q343" t="s">
        <v>173</v>
      </c>
    </row>
    <row r="344" spans="1:17" x14ac:dyDescent="0.35">
      <c r="A344" s="4">
        <v>2720</v>
      </c>
      <c r="B344" s="5">
        <v>38183</v>
      </c>
      <c r="C344" s="5">
        <v>44004</v>
      </c>
      <c r="D344" s="4">
        <v>16</v>
      </c>
      <c r="E344" s="6" t="str" cm="1">
        <f t="array" ref="E344">_xlfn.IFS(D344&lt;=5,"Newcomer",AND(D344&gt;=6,D344&lt;=10),"Proficient",D344&gt;10,"Expert")</f>
        <v>Expert</v>
      </c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 t="str" cm="1">
        <f t="array" ref="M344">_xlfn.IFS(L344="Retirement","Voluntary",L344="Resignation","Voluntary",L344="Layoff","InVoluntary")</f>
        <v>Voluntary</v>
      </c>
      <c r="N344" s="4" t="s">
        <v>26</v>
      </c>
      <c r="O344" s="41"/>
      <c r="P344">
        <v>1</v>
      </c>
      <c r="Q344" t="s">
        <v>173</v>
      </c>
    </row>
    <row r="345" spans="1:17" x14ac:dyDescent="0.35">
      <c r="A345" s="4">
        <v>2723</v>
      </c>
      <c r="B345" s="5">
        <v>37505</v>
      </c>
      <c r="C345" s="5">
        <v>44094</v>
      </c>
      <c r="D345" s="4">
        <v>18</v>
      </c>
      <c r="E345" s="6" t="str" cm="1">
        <f t="array" ref="E345">_xlfn.IFS(D345&lt;=5,"Newcomer",AND(D345&gt;=6,D345&lt;=10),"Proficient",D345&gt;10,"Expert")</f>
        <v>Expert</v>
      </c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 t="str" cm="1">
        <f t="array" ref="M345">_xlfn.IFS(L345="Retirement","Voluntary",L345="Resignation","Voluntary",L345="Layoff","InVoluntary")</f>
        <v>Voluntary</v>
      </c>
      <c r="N345" s="4" t="s">
        <v>26</v>
      </c>
      <c r="O345" s="41"/>
      <c r="P345">
        <v>1</v>
      </c>
      <c r="Q345" t="s">
        <v>173</v>
      </c>
    </row>
    <row r="346" spans="1:17" x14ac:dyDescent="0.35">
      <c r="A346" s="4">
        <v>2724</v>
      </c>
      <c r="B346" s="5">
        <v>42226</v>
      </c>
      <c r="C346" s="5">
        <v>44120</v>
      </c>
      <c r="D346" s="4">
        <v>5</v>
      </c>
      <c r="E346" s="6" t="str" cm="1">
        <f t="array" ref="E346">_xlfn.IFS(D346&lt;=5,"Newcomer",AND(D346&gt;=6,D346&lt;=10),"Proficient",D346&gt;10,"Expert")</f>
        <v>Newcomer</v>
      </c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 t="str" cm="1">
        <f t="array" ref="M346">_xlfn.IFS(L346="Retirement","Voluntary",L346="Resignation","Voluntary",L346="Layoff","InVoluntary")</f>
        <v>Voluntary</v>
      </c>
      <c r="N346" s="4" t="s">
        <v>26</v>
      </c>
      <c r="O346" s="41"/>
      <c r="P346">
        <v>1</v>
      </c>
      <c r="Q346" t="s">
        <v>173</v>
      </c>
    </row>
    <row r="347" spans="1:17" x14ac:dyDescent="0.35">
      <c r="A347" s="4">
        <v>2726</v>
      </c>
      <c r="B347" s="5">
        <v>34038</v>
      </c>
      <c r="C347" s="5">
        <v>44066</v>
      </c>
      <c r="D347" s="4">
        <v>27</v>
      </c>
      <c r="E347" s="6" t="str" cm="1">
        <f t="array" ref="E347">_xlfn.IFS(D347&lt;=5,"Newcomer",AND(D347&gt;=6,D347&lt;=10),"Proficient",D347&gt;10,"Expert")</f>
        <v>Expert</v>
      </c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 t="str" cm="1">
        <f t="array" ref="M347">_xlfn.IFS(L347="Retirement","Voluntary",L347="Resignation","Voluntary",L347="Layoff","InVoluntary")</f>
        <v>Voluntary</v>
      </c>
      <c r="N347" s="4" t="s">
        <v>26</v>
      </c>
      <c r="O347" s="41"/>
      <c r="P347">
        <v>1</v>
      </c>
      <c r="Q347" t="s">
        <v>173</v>
      </c>
    </row>
    <row r="348" spans="1:17" x14ac:dyDescent="0.35">
      <c r="A348" s="4">
        <v>2730</v>
      </c>
      <c r="B348" s="5">
        <v>36340</v>
      </c>
      <c r="C348" s="5">
        <v>43833</v>
      </c>
      <c r="D348" s="4">
        <v>21</v>
      </c>
      <c r="E348" s="6" t="str" cm="1">
        <f t="array" ref="E348">_xlfn.IFS(D348&lt;=5,"Newcomer",AND(D348&gt;=6,D348&lt;=10),"Proficient",D348&gt;10,"Expert")</f>
        <v>Expert</v>
      </c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 t="str" cm="1">
        <f t="array" ref="M348">_xlfn.IFS(L348="Retirement","Voluntary",L348="Resignation","Voluntary",L348="Layoff","InVoluntary")</f>
        <v>Voluntary</v>
      </c>
      <c r="N348" s="4" t="s">
        <v>26</v>
      </c>
      <c r="O348" s="41"/>
      <c r="P348">
        <v>1</v>
      </c>
      <c r="Q348" t="s">
        <v>173</v>
      </c>
    </row>
    <row r="349" spans="1:17" x14ac:dyDescent="0.35">
      <c r="A349" s="4">
        <v>2733</v>
      </c>
      <c r="B349" s="5">
        <v>37581</v>
      </c>
      <c r="C349" s="5">
        <v>44002</v>
      </c>
      <c r="D349" s="4">
        <v>18</v>
      </c>
      <c r="E349" s="6" t="str" cm="1">
        <f t="array" ref="E349">_xlfn.IFS(D349&lt;=5,"Newcomer",AND(D349&gt;=6,D349&lt;=10),"Proficient",D349&gt;10,"Expert")</f>
        <v>Expert</v>
      </c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 t="str" cm="1">
        <f t="array" ref="M349">_xlfn.IFS(L349="Retirement","Voluntary",L349="Resignation","Voluntary",L349="Layoff","InVoluntary")</f>
        <v>Voluntary</v>
      </c>
      <c r="N349" s="4" t="s">
        <v>26</v>
      </c>
      <c r="O349" s="41"/>
      <c r="P349">
        <v>1</v>
      </c>
      <c r="Q349" t="s">
        <v>173</v>
      </c>
    </row>
    <row r="350" spans="1:17" x14ac:dyDescent="0.35">
      <c r="A350" s="4">
        <v>2737</v>
      </c>
      <c r="B350" s="5">
        <v>38947</v>
      </c>
      <c r="C350" s="5">
        <v>44188</v>
      </c>
      <c r="D350" s="4">
        <v>14</v>
      </c>
      <c r="E350" s="6" t="str" cm="1">
        <f t="array" ref="E350">_xlfn.IFS(D350&lt;=5,"Newcomer",AND(D350&gt;=6,D350&lt;=10),"Proficient",D350&gt;10,"Expert")</f>
        <v>Expert</v>
      </c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 t="str" cm="1">
        <f t="array" ref="M350">_xlfn.IFS(L350="Retirement","Voluntary",L350="Resignation","Voluntary",L350="Layoff","InVoluntary")</f>
        <v>InVoluntary</v>
      </c>
      <c r="N350" s="4" t="s">
        <v>26</v>
      </c>
      <c r="O350" s="41"/>
      <c r="P350">
        <v>1</v>
      </c>
      <c r="Q350" t="s">
        <v>174</v>
      </c>
    </row>
    <row r="351" spans="1:17" x14ac:dyDescent="0.35">
      <c r="A351" s="4">
        <v>2739</v>
      </c>
      <c r="B351" s="5">
        <v>37594</v>
      </c>
      <c r="C351" s="5">
        <v>44122</v>
      </c>
      <c r="D351" s="4">
        <v>18</v>
      </c>
      <c r="E351" s="6" t="str" cm="1">
        <f t="array" ref="E351">_xlfn.IFS(D351&lt;=5,"Newcomer",AND(D351&gt;=6,D351&lt;=10),"Proficient",D351&gt;10,"Expert")</f>
        <v>Expert</v>
      </c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 t="str" cm="1">
        <f t="array" ref="M351">_xlfn.IFS(L351="Retirement","Voluntary",L351="Resignation","Voluntary",L351="Layoff","InVoluntary")</f>
        <v>Voluntary</v>
      </c>
      <c r="N351" s="4" t="s">
        <v>26</v>
      </c>
      <c r="O351" s="41"/>
      <c r="P351">
        <v>1</v>
      </c>
      <c r="Q351" t="s">
        <v>173</v>
      </c>
    </row>
    <row r="352" spans="1:17" x14ac:dyDescent="0.35">
      <c r="A352" s="4">
        <v>2744</v>
      </c>
      <c r="B352" s="5">
        <v>40304</v>
      </c>
      <c r="C352" s="5">
        <v>43960</v>
      </c>
      <c r="D352" s="4">
        <v>10</v>
      </c>
      <c r="E352" s="6" t="str" cm="1">
        <f t="array" ref="E352">_xlfn.IFS(D352&lt;=5,"Newcomer",AND(D352&gt;=6,D352&lt;=10),"Proficient",D352&gt;10,"Expert")</f>
        <v>Proficient</v>
      </c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 t="str" cm="1">
        <f t="array" ref="M352">_xlfn.IFS(L352="Retirement","Voluntary",L352="Resignation","Voluntary",L352="Layoff","InVoluntary")</f>
        <v>Voluntary</v>
      </c>
      <c r="N352" s="4" t="s">
        <v>26</v>
      </c>
      <c r="O352" s="41"/>
      <c r="P352">
        <v>1</v>
      </c>
      <c r="Q352" t="s">
        <v>173</v>
      </c>
    </row>
    <row r="353" spans="1:17" x14ac:dyDescent="0.35">
      <c r="A353" s="4">
        <v>2747</v>
      </c>
      <c r="B353" s="5">
        <v>37716</v>
      </c>
      <c r="C353" s="5">
        <v>44045</v>
      </c>
      <c r="D353" s="4">
        <v>17</v>
      </c>
      <c r="E353" s="6" t="str" cm="1">
        <f t="array" ref="E353">_xlfn.IFS(D353&lt;=5,"Newcomer",AND(D353&gt;=6,D353&lt;=10),"Proficient",D353&gt;10,"Expert")</f>
        <v>Expert</v>
      </c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 t="str" cm="1">
        <f t="array" ref="M353">_xlfn.IFS(L353="Retirement","Voluntary",L353="Resignation","Voluntary",L353="Layoff","InVoluntary")</f>
        <v>Voluntary</v>
      </c>
      <c r="N353" s="4" t="s">
        <v>26</v>
      </c>
      <c r="O353" s="41"/>
      <c r="P353">
        <v>1</v>
      </c>
      <c r="Q353" t="s">
        <v>173</v>
      </c>
    </row>
    <row r="354" spans="1:17" x14ac:dyDescent="0.35">
      <c r="A354" s="4">
        <v>2748</v>
      </c>
      <c r="B354" s="5">
        <v>40241</v>
      </c>
      <c r="C354" s="5">
        <v>43953</v>
      </c>
      <c r="D354" s="4">
        <v>10</v>
      </c>
      <c r="E354" s="6" t="str" cm="1">
        <f t="array" ref="E354">_xlfn.IFS(D354&lt;=5,"Newcomer",AND(D354&gt;=6,D354&lt;=10),"Proficient",D354&gt;10,"Expert")</f>
        <v>Proficient</v>
      </c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 t="str" cm="1">
        <f t="array" ref="M354">_xlfn.IFS(L354="Retirement","Voluntary",L354="Resignation","Voluntary",L354="Layoff","InVoluntary")</f>
        <v>Voluntary</v>
      </c>
      <c r="N354" s="4" t="s">
        <v>26</v>
      </c>
      <c r="O354" s="41"/>
      <c r="P354">
        <v>1</v>
      </c>
      <c r="Q354" t="s">
        <v>173</v>
      </c>
    </row>
    <row r="355" spans="1:17" x14ac:dyDescent="0.35">
      <c r="A355" s="4">
        <v>2750</v>
      </c>
      <c r="B355" s="5">
        <v>36696</v>
      </c>
      <c r="C355" s="5">
        <v>44152</v>
      </c>
      <c r="D355" s="4">
        <v>20</v>
      </c>
      <c r="E355" s="6" t="str" cm="1">
        <f t="array" ref="E355">_xlfn.IFS(D355&lt;=5,"Newcomer",AND(D355&gt;=6,D355&lt;=10),"Proficient",D355&gt;10,"Expert")</f>
        <v>Expert</v>
      </c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 t="str" cm="1">
        <f t="array" ref="M355">_xlfn.IFS(L355="Retirement","Voluntary",L355="Resignation","Voluntary",L355="Layoff","InVoluntary")</f>
        <v>Voluntary</v>
      </c>
      <c r="N355" s="4" t="s">
        <v>26</v>
      </c>
      <c r="O355" s="41"/>
      <c r="P355">
        <v>1</v>
      </c>
      <c r="Q355" t="s">
        <v>173</v>
      </c>
    </row>
    <row r="356" spans="1:17" x14ac:dyDescent="0.35">
      <c r="A356" s="4">
        <v>2756</v>
      </c>
      <c r="B356" s="5">
        <v>37175</v>
      </c>
      <c r="C356" s="5">
        <v>43999</v>
      </c>
      <c r="D356" s="4">
        <v>19</v>
      </c>
      <c r="E356" s="6" t="str" cm="1">
        <f t="array" ref="E356">_xlfn.IFS(D356&lt;=5,"Newcomer",AND(D356&gt;=6,D356&lt;=10),"Proficient",D356&gt;10,"Expert")</f>
        <v>Expert</v>
      </c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 t="str" cm="1">
        <f t="array" ref="M356">_xlfn.IFS(L356="Retirement","Voluntary",L356="Resignation","Voluntary",L356="Layoff","InVoluntary")</f>
        <v>Voluntary</v>
      </c>
      <c r="N356" s="4" t="s">
        <v>26</v>
      </c>
      <c r="O356" s="41"/>
      <c r="P356">
        <v>1</v>
      </c>
      <c r="Q356" t="s">
        <v>173</v>
      </c>
    </row>
    <row r="357" spans="1:17" x14ac:dyDescent="0.35">
      <c r="A357" s="4">
        <v>2761</v>
      </c>
      <c r="B357" s="5">
        <v>42290</v>
      </c>
      <c r="C357" s="5">
        <v>43989</v>
      </c>
      <c r="D357" s="4">
        <v>5</v>
      </c>
      <c r="E357" s="6" t="str" cm="1">
        <f t="array" ref="E357">_xlfn.IFS(D357&lt;=5,"Newcomer",AND(D357&gt;=6,D357&lt;=10),"Proficient",D357&gt;10,"Expert")</f>
        <v>Newcomer</v>
      </c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 t="str" cm="1">
        <f t="array" ref="M357">_xlfn.IFS(L357="Retirement","Voluntary",L357="Resignation","Voluntary",L357="Layoff","InVoluntary")</f>
        <v>Voluntary</v>
      </c>
      <c r="N357" s="4" t="s">
        <v>26</v>
      </c>
      <c r="O357" s="41"/>
      <c r="P357">
        <v>1</v>
      </c>
      <c r="Q357" t="s">
        <v>173</v>
      </c>
    </row>
    <row r="358" spans="1:17" x14ac:dyDescent="0.35">
      <c r="A358" s="4">
        <v>2762</v>
      </c>
      <c r="B358" s="5">
        <v>34270</v>
      </c>
      <c r="C358" s="5">
        <v>44137</v>
      </c>
      <c r="D358" s="4">
        <v>27</v>
      </c>
      <c r="E358" s="6" t="str" cm="1">
        <f t="array" ref="E358">_xlfn.IFS(D358&lt;=5,"Newcomer",AND(D358&gt;=6,D358&lt;=10),"Proficient",D358&gt;10,"Expert")</f>
        <v>Expert</v>
      </c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 t="str" cm="1">
        <f t="array" ref="M358">_xlfn.IFS(L358="Retirement","Voluntary",L358="Resignation","Voluntary",L358="Layoff","InVoluntary")</f>
        <v>Voluntary</v>
      </c>
      <c r="N358" s="4" t="s">
        <v>26</v>
      </c>
      <c r="O358" s="41"/>
      <c r="P358">
        <v>1</v>
      </c>
      <c r="Q358" t="s">
        <v>173</v>
      </c>
    </row>
    <row r="359" spans="1:17" x14ac:dyDescent="0.35">
      <c r="A359" s="4">
        <v>2766</v>
      </c>
      <c r="B359" s="5">
        <v>39243</v>
      </c>
      <c r="C359" s="5">
        <v>43915</v>
      </c>
      <c r="D359" s="4">
        <v>13</v>
      </c>
      <c r="E359" s="6" t="str" cm="1">
        <f t="array" ref="E359">_xlfn.IFS(D359&lt;=5,"Newcomer",AND(D359&gt;=6,D359&lt;=10),"Proficient",D359&gt;10,"Expert")</f>
        <v>Expert</v>
      </c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 t="str" cm="1">
        <f t="array" ref="M359">_xlfn.IFS(L359="Retirement","Voluntary",L359="Resignation","Voluntary",L359="Layoff","InVoluntary")</f>
        <v>Voluntary</v>
      </c>
      <c r="N359" s="4" t="s">
        <v>26</v>
      </c>
      <c r="O359" s="41"/>
      <c r="P359">
        <v>1</v>
      </c>
      <c r="Q359" t="s">
        <v>173</v>
      </c>
    </row>
    <row r="360" spans="1:17" x14ac:dyDescent="0.35">
      <c r="A360" s="4">
        <v>2767</v>
      </c>
      <c r="B360" s="5">
        <v>41940</v>
      </c>
      <c r="C360" s="5">
        <v>44153</v>
      </c>
      <c r="D360" s="4">
        <v>6</v>
      </c>
      <c r="E360" s="6" t="str" cm="1">
        <f t="array" ref="E360">_xlfn.IFS(D360&lt;=5,"Newcomer",AND(D360&gt;=6,D360&lt;=10),"Proficient",D360&gt;10,"Expert")</f>
        <v>Proficient</v>
      </c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 t="str" cm="1">
        <f t="array" ref="M360">_xlfn.IFS(L360="Retirement","Voluntary",L360="Resignation","Voluntary",L360="Layoff","InVoluntary")</f>
        <v>InVoluntary</v>
      </c>
      <c r="N360" s="4" t="s">
        <v>26</v>
      </c>
      <c r="O360" s="41"/>
      <c r="P360">
        <v>1</v>
      </c>
      <c r="Q360" t="s">
        <v>174</v>
      </c>
    </row>
    <row r="361" spans="1:17" x14ac:dyDescent="0.35">
      <c r="A361" s="4">
        <v>2778</v>
      </c>
      <c r="B361" s="5">
        <v>35184</v>
      </c>
      <c r="C361" s="5">
        <v>43857</v>
      </c>
      <c r="D361" s="4">
        <v>24</v>
      </c>
      <c r="E361" s="6" t="str" cm="1">
        <f t="array" ref="E361">_xlfn.IFS(D361&lt;=5,"Newcomer",AND(D361&gt;=6,D361&lt;=10),"Proficient",D361&gt;10,"Expert")</f>
        <v>Expert</v>
      </c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 t="str" cm="1">
        <f t="array" ref="M361">_xlfn.IFS(L361="Retirement","Voluntary",L361="Resignation","Voluntary",L361="Layoff","InVoluntary")</f>
        <v>Voluntary</v>
      </c>
      <c r="N361" s="4" t="s">
        <v>26</v>
      </c>
      <c r="O361" s="41"/>
      <c r="P361">
        <v>1</v>
      </c>
      <c r="Q361" t="s">
        <v>173</v>
      </c>
    </row>
    <row r="362" spans="1:17" x14ac:dyDescent="0.35">
      <c r="A362" s="4">
        <v>2782</v>
      </c>
      <c r="B362" s="5">
        <v>41010</v>
      </c>
      <c r="C362" s="5">
        <v>44043</v>
      </c>
      <c r="D362" s="4">
        <v>8</v>
      </c>
      <c r="E362" s="6" t="str" cm="1">
        <f t="array" ref="E362">_xlfn.IFS(D362&lt;=5,"Newcomer",AND(D362&gt;=6,D362&lt;=10),"Proficient",D362&gt;10,"Expert")</f>
        <v>Proficient</v>
      </c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 t="str" cm="1">
        <f t="array" ref="M362">_xlfn.IFS(L362="Retirement","Voluntary",L362="Resignation","Voluntary",L362="Layoff","InVoluntary")</f>
        <v>Voluntary</v>
      </c>
      <c r="N362" s="4" t="s">
        <v>26</v>
      </c>
      <c r="O362" s="41"/>
      <c r="P362">
        <v>1</v>
      </c>
      <c r="Q362" t="s">
        <v>173</v>
      </c>
    </row>
    <row r="363" spans="1:17" x14ac:dyDescent="0.35">
      <c r="A363" s="4">
        <v>2784</v>
      </c>
      <c r="B363" s="5">
        <v>40768</v>
      </c>
      <c r="C363" s="5">
        <v>44102</v>
      </c>
      <c r="D363" s="4">
        <v>9</v>
      </c>
      <c r="E363" s="6" t="str" cm="1">
        <f t="array" ref="E363">_xlfn.IFS(D363&lt;=5,"Newcomer",AND(D363&gt;=6,D363&lt;=10),"Proficient",D363&gt;10,"Expert")</f>
        <v>Proficient</v>
      </c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 t="str" cm="1">
        <f t="array" ref="M363">_xlfn.IFS(L363="Retirement","Voluntary",L363="Resignation","Voluntary",L363="Layoff","InVoluntary")</f>
        <v>Voluntary</v>
      </c>
      <c r="N363" s="4" t="s">
        <v>26</v>
      </c>
      <c r="O363" s="41"/>
      <c r="P363">
        <v>1</v>
      </c>
      <c r="Q363" t="s">
        <v>173</v>
      </c>
    </row>
    <row r="364" spans="1:17" x14ac:dyDescent="0.35">
      <c r="A364" s="4">
        <v>2800</v>
      </c>
      <c r="B364" s="5">
        <v>34289</v>
      </c>
      <c r="C364" s="5">
        <v>44083</v>
      </c>
      <c r="D364" s="4">
        <v>27</v>
      </c>
      <c r="E364" s="6" t="str" cm="1">
        <f t="array" ref="E364">_xlfn.IFS(D364&lt;=5,"Newcomer",AND(D364&gt;=6,D364&lt;=10),"Proficient",D364&gt;10,"Expert")</f>
        <v>Expert</v>
      </c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 t="str" cm="1">
        <f t="array" ref="M364">_xlfn.IFS(L364="Retirement","Voluntary",L364="Resignation","Voluntary",L364="Layoff","InVoluntary")</f>
        <v>Voluntary</v>
      </c>
      <c r="N364" s="4" t="s">
        <v>26</v>
      </c>
      <c r="O364" s="41"/>
      <c r="P364">
        <v>1</v>
      </c>
      <c r="Q364" t="s">
        <v>173</v>
      </c>
    </row>
    <row r="365" spans="1:17" x14ac:dyDescent="0.35">
      <c r="A365" s="4">
        <v>2806</v>
      </c>
      <c r="B365" s="5">
        <v>34927</v>
      </c>
      <c r="C365" s="5">
        <v>44050</v>
      </c>
      <c r="D365" s="4">
        <v>25</v>
      </c>
      <c r="E365" s="6" t="str" cm="1">
        <f t="array" ref="E365">_xlfn.IFS(D365&lt;=5,"Newcomer",AND(D365&gt;=6,D365&lt;=10),"Proficient",D365&gt;10,"Expert")</f>
        <v>Expert</v>
      </c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 t="str" cm="1">
        <f t="array" ref="M365">_xlfn.IFS(L365="Retirement","Voluntary",L365="Resignation","Voluntary",L365="Layoff","InVoluntary")</f>
        <v>Voluntary</v>
      </c>
      <c r="N365" s="4" t="s">
        <v>26</v>
      </c>
      <c r="O365" s="41"/>
      <c r="P365">
        <v>1</v>
      </c>
      <c r="Q365" t="s">
        <v>173</v>
      </c>
    </row>
    <row r="366" spans="1:17" x14ac:dyDescent="0.35">
      <c r="A366" s="4">
        <v>2813</v>
      </c>
      <c r="B366" s="5">
        <v>32992</v>
      </c>
      <c r="C366" s="5">
        <v>43849</v>
      </c>
      <c r="D366" s="4">
        <v>30</v>
      </c>
      <c r="E366" s="6" t="str" cm="1">
        <f t="array" ref="E366">_xlfn.IFS(D366&lt;=5,"Newcomer",AND(D366&gt;=6,D366&lt;=10),"Proficient",D366&gt;10,"Expert")</f>
        <v>Expert</v>
      </c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 t="str" cm="1">
        <f t="array" ref="M366">_xlfn.IFS(L366="Retirement","Voluntary",L366="Resignation","Voluntary",L366="Layoff","InVoluntary")</f>
        <v>Voluntary</v>
      </c>
      <c r="N366" s="4" t="s">
        <v>26</v>
      </c>
      <c r="O366" s="41"/>
      <c r="P366">
        <v>1</v>
      </c>
      <c r="Q366" t="s">
        <v>173</v>
      </c>
    </row>
    <row r="367" spans="1:17" x14ac:dyDescent="0.35">
      <c r="A367" s="4">
        <v>2816</v>
      </c>
      <c r="B367" s="5">
        <v>32986</v>
      </c>
      <c r="C367" s="5">
        <v>44051</v>
      </c>
      <c r="D367" s="4">
        <v>30</v>
      </c>
      <c r="E367" s="6" t="str" cm="1">
        <f t="array" ref="E367">_xlfn.IFS(D367&lt;=5,"Newcomer",AND(D367&gt;=6,D367&lt;=10),"Proficient",D367&gt;10,"Expert")</f>
        <v>Expert</v>
      </c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 t="str" cm="1">
        <f t="array" ref="M367">_xlfn.IFS(L367="Retirement","Voluntary",L367="Resignation","Voluntary",L367="Layoff","InVoluntary")</f>
        <v>InVoluntary</v>
      </c>
      <c r="N367" s="4" t="s">
        <v>26</v>
      </c>
      <c r="O367" s="41"/>
      <c r="P367">
        <v>1</v>
      </c>
      <c r="Q367" t="s">
        <v>174</v>
      </c>
    </row>
    <row r="368" spans="1:17" x14ac:dyDescent="0.35">
      <c r="A368" s="4">
        <v>2819</v>
      </c>
      <c r="B368" s="5">
        <v>40343</v>
      </c>
      <c r="C368" s="5">
        <v>43862</v>
      </c>
      <c r="D368" s="4">
        <v>10</v>
      </c>
      <c r="E368" s="6" t="str" cm="1">
        <f t="array" ref="E368">_xlfn.IFS(D368&lt;=5,"Newcomer",AND(D368&gt;=6,D368&lt;=10),"Proficient",D368&gt;10,"Expert")</f>
        <v>Proficient</v>
      </c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 t="str" cm="1">
        <f t="array" ref="M368">_xlfn.IFS(L368="Retirement","Voluntary",L368="Resignation","Voluntary",L368="Layoff","InVoluntary")</f>
        <v>Voluntary</v>
      </c>
      <c r="N368" s="4" t="s">
        <v>26</v>
      </c>
      <c r="O368" s="41"/>
      <c r="P368">
        <v>1</v>
      </c>
      <c r="Q368" t="s">
        <v>173</v>
      </c>
    </row>
    <row r="369" spans="1:17" x14ac:dyDescent="0.35">
      <c r="A369" s="4">
        <v>2824</v>
      </c>
      <c r="B369" s="5">
        <v>37710</v>
      </c>
      <c r="C369" s="5">
        <v>44100</v>
      </c>
      <c r="D369" s="4">
        <v>17</v>
      </c>
      <c r="E369" s="6" t="str" cm="1">
        <f t="array" ref="E369">_xlfn.IFS(D369&lt;=5,"Newcomer",AND(D369&gt;=6,D369&lt;=10),"Proficient",D369&gt;10,"Expert")</f>
        <v>Expert</v>
      </c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 t="str" cm="1">
        <f t="array" ref="M369">_xlfn.IFS(L369="Retirement","Voluntary",L369="Resignation","Voluntary",L369="Layoff","InVoluntary")</f>
        <v>Voluntary</v>
      </c>
      <c r="N369" s="4" t="s">
        <v>26</v>
      </c>
      <c r="O369" s="41"/>
      <c r="P369">
        <v>1</v>
      </c>
      <c r="Q369" t="s">
        <v>173</v>
      </c>
    </row>
    <row r="370" spans="1:17" x14ac:dyDescent="0.35">
      <c r="A370" s="4">
        <v>2827</v>
      </c>
      <c r="B370" s="5">
        <v>39982</v>
      </c>
      <c r="C370" s="5">
        <v>44170</v>
      </c>
      <c r="D370" s="4">
        <v>11</v>
      </c>
      <c r="E370" s="6" t="str" cm="1">
        <f t="array" ref="E370">_xlfn.IFS(D370&lt;=5,"Newcomer",AND(D370&gt;=6,D370&lt;=10),"Proficient",D370&gt;10,"Expert")</f>
        <v>Expert</v>
      </c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 t="str" cm="1">
        <f t="array" ref="M370">_xlfn.IFS(L370="Retirement","Voluntary",L370="Resignation","Voluntary",L370="Layoff","InVoluntary")</f>
        <v>Voluntary</v>
      </c>
      <c r="N370" s="4" t="s">
        <v>26</v>
      </c>
      <c r="O370" s="41"/>
      <c r="P370">
        <v>1</v>
      </c>
      <c r="Q370" t="s">
        <v>173</v>
      </c>
    </row>
    <row r="371" spans="1:17" x14ac:dyDescent="0.35">
      <c r="A371" s="4">
        <v>2845</v>
      </c>
      <c r="B371" s="5">
        <v>36125</v>
      </c>
      <c r="C371" s="5">
        <v>43933</v>
      </c>
      <c r="D371" s="4">
        <v>22</v>
      </c>
      <c r="E371" s="6" t="str" cm="1">
        <f t="array" ref="E371">_xlfn.IFS(D371&lt;=5,"Newcomer",AND(D371&gt;=6,D371&lt;=10),"Proficient",D371&gt;10,"Expert")</f>
        <v>Expert</v>
      </c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 t="str" cm="1">
        <f t="array" ref="M371">_xlfn.IFS(L371="Retirement","Voluntary",L371="Resignation","Voluntary",L371="Layoff","InVoluntary")</f>
        <v>Voluntary</v>
      </c>
      <c r="N371" s="4" t="s">
        <v>26</v>
      </c>
      <c r="O371" s="41"/>
      <c r="P371">
        <v>1</v>
      </c>
      <c r="Q371" t="s">
        <v>173</v>
      </c>
    </row>
    <row r="372" spans="1:17" x14ac:dyDescent="0.35">
      <c r="A372" s="4">
        <v>2851</v>
      </c>
      <c r="B372" s="5">
        <v>35393</v>
      </c>
      <c r="C372" s="5">
        <v>44073</v>
      </c>
      <c r="D372" s="4">
        <v>24</v>
      </c>
      <c r="E372" s="6" t="str" cm="1">
        <f t="array" ref="E372">_xlfn.IFS(D372&lt;=5,"Newcomer",AND(D372&gt;=6,D372&lt;=10),"Proficient",D372&gt;10,"Expert")</f>
        <v>Expert</v>
      </c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 t="str" cm="1">
        <f t="array" ref="M372">_xlfn.IFS(L372="Retirement","Voluntary",L372="Resignation","Voluntary",L372="Layoff","InVoluntary")</f>
        <v>Voluntary</v>
      </c>
      <c r="N372" s="4" t="s">
        <v>26</v>
      </c>
      <c r="O372" s="41"/>
      <c r="P372">
        <v>1</v>
      </c>
      <c r="Q372" t="s">
        <v>173</v>
      </c>
    </row>
    <row r="373" spans="1:17" x14ac:dyDescent="0.35">
      <c r="A373" s="4">
        <v>2853</v>
      </c>
      <c r="B373" s="5">
        <v>35206</v>
      </c>
      <c r="C373" s="5">
        <v>44178</v>
      </c>
      <c r="D373" s="4">
        <v>24</v>
      </c>
      <c r="E373" s="6" t="str" cm="1">
        <f t="array" ref="E373">_xlfn.IFS(D373&lt;=5,"Newcomer",AND(D373&gt;=6,D373&lt;=10),"Proficient",D373&gt;10,"Expert")</f>
        <v>Expert</v>
      </c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 t="str" cm="1">
        <f t="array" ref="M373">_xlfn.IFS(L373="Retirement","Voluntary",L373="Resignation","Voluntary",L373="Layoff","InVoluntary")</f>
        <v>Voluntary</v>
      </c>
      <c r="N373" s="4" t="s">
        <v>26</v>
      </c>
      <c r="O373" s="41"/>
      <c r="P373">
        <v>1</v>
      </c>
      <c r="Q373" t="s">
        <v>173</v>
      </c>
    </row>
    <row r="374" spans="1:17" x14ac:dyDescent="0.35">
      <c r="A374" s="4">
        <v>2862</v>
      </c>
      <c r="B374" s="5">
        <v>35348</v>
      </c>
      <c r="C374" s="5">
        <v>44025</v>
      </c>
      <c r="D374" s="4">
        <v>24</v>
      </c>
      <c r="E374" s="6" t="str" cm="1">
        <f t="array" ref="E374">_xlfn.IFS(D374&lt;=5,"Newcomer",AND(D374&gt;=6,D374&lt;=10),"Proficient",D374&gt;10,"Expert")</f>
        <v>Expert</v>
      </c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 t="str" cm="1">
        <f t="array" ref="M374">_xlfn.IFS(L374="Retirement","Voluntary",L374="Resignation","Voluntary",L374="Layoff","InVoluntary")</f>
        <v>Voluntary</v>
      </c>
      <c r="N374" s="4" t="s">
        <v>26</v>
      </c>
      <c r="O374" s="41"/>
      <c r="P374">
        <v>1</v>
      </c>
      <c r="Q374" t="s">
        <v>173</v>
      </c>
    </row>
    <row r="375" spans="1:17" x14ac:dyDescent="0.35">
      <c r="A375" s="4">
        <v>2865</v>
      </c>
      <c r="B375" s="5">
        <v>36022</v>
      </c>
      <c r="C375" s="5">
        <v>44059</v>
      </c>
      <c r="D375" s="4">
        <v>22</v>
      </c>
      <c r="E375" s="6" t="str" cm="1">
        <f t="array" ref="E375">_xlfn.IFS(D375&lt;=5,"Newcomer",AND(D375&gt;=6,D375&lt;=10),"Proficient",D375&gt;10,"Expert")</f>
        <v>Expert</v>
      </c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 t="str" cm="1">
        <f t="array" ref="M375">_xlfn.IFS(L375="Retirement","Voluntary",L375="Resignation","Voluntary",L375="Layoff","InVoluntary")</f>
        <v>Voluntary</v>
      </c>
      <c r="N375" s="4" t="s">
        <v>26</v>
      </c>
      <c r="O375" s="41"/>
      <c r="P375">
        <v>1</v>
      </c>
      <c r="Q375" t="s">
        <v>173</v>
      </c>
    </row>
    <row r="376" spans="1:17" x14ac:dyDescent="0.35">
      <c r="A376" s="4">
        <v>2871</v>
      </c>
      <c r="B376" s="5">
        <v>37501</v>
      </c>
      <c r="C376" s="5">
        <v>43940</v>
      </c>
      <c r="D376" s="4">
        <v>18</v>
      </c>
      <c r="E376" s="6" t="str" cm="1">
        <f t="array" ref="E376">_xlfn.IFS(D376&lt;=5,"Newcomer",AND(D376&gt;=6,D376&lt;=10),"Proficient",D376&gt;10,"Expert")</f>
        <v>Expert</v>
      </c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 t="str" cm="1">
        <f t="array" ref="M376">_xlfn.IFS(L376="Retirement","Voluntary",L376="Resignation","Voluntary",L376="Layoff","InVoluntary")</f>
        <v>Voluntary</v>
      </c>
      <c r="N376" s="4" t="s">
        <v>26</v>
      </c>
      <c r="O376" s="41"/>
      <c r="P376">
        <v>1</v>
      </c>
      <c r="Q376" t="s">
        <v>173</v>
      </c>
    </row>
    <row r="377" spans="1:17" x14ac:dyDescent="0.35">
      <c r="A377" s="4">
        <v>2873</v>
      </c>
      <c r="B377" s="5">
        <v>34878</v>
      </c>
      <c r="C377" s="5">
        <v>43838</v>
      </c>
      <c r="D377" s="4">
        <v>25</v>
      </c>
      <c r="E377" s="6" t="str" cm="1">
        <f t="array" ref="E377">_xlfn.IFS(D377&lt;=5,"Newcomer",AND(D377&gt;=6,D377&lt;=10),"Proficient",D377&gt;10,"Expert")</f>
        <v>Expert</v>
      </c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 t="str" cm="1">
        <f t="array" ref="M377">_xlfn.IFS(L377="Retirement","Voluntary",L377="Resignation","Voluntary",L377="Layoff","InVoluntary")</f>
        <v>Voluntary</v>
      </c>
      <c r="N377" s="4" t="s">
        <v>26</v>
      </c>
      <c r="O377" s="41"/>
      <c r="P377">
        <v>1</v>
      </c>
      <c r="Q377" t="s">
        <v>173</v>
      </c>
    </row>
    <row r="378" spans="1:17" x14ac:dyDescent="0.35">
      <c r="A378" s="4">
        <v>2877</v>
      </c>
      <c r="B378" s="5">
        <v>41100</v>
      </c>
      <c r="C378" s="5">
        <v>44160</v>
      </c>
      <c r="D378" s="4">
        <v>8</v>
      </c>
      <c r="E378" s="6" t="str" cm="1">
        <f t="array" ref="E378">_xlfn.IFS(D378&lt;=5,"Newcomer",AND(D378&gt;=6,D378&lt;=10),"Proficient",D378&gt;10,"Expert")</f>
        <v>Proficient</v>
      </c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 t="str" cm="1">
        <f t="array" ref="M378">_xlfn.IFS(L378="Retirement","Voluntary",L378="Resignation","Voluntary",L378="Layoff","InVoluntary")</f>
        <v>Voluntary</v>
      </c>
      <c r="N378" s="4" t="s">
        <v>26</v>
      </c>
      <c r="O378" s="41"/>
      <c r="P378">
        <v>1</v>
      </c>
      <c r="Q378" t="s">
        <v>173</v>
      </c>
    </row>
    <row r="379" spans="1:17" x14ac:dyDescent="0.35">
      <c r="A379" s="4">
        <v>2887</v>
      </c>
      <c r="B379" s="5">
        <v>35151</v>
      </c>
      <c r="C379" s="5">
        <v>43986</v>
      </c>
      <c r="D379" s="4">
        <v>24</v>
      </c>
      <c r="E379" s="6" t="str" cm="1">
        <f t="array" ref="E379">_xlfn.IFS(D379&lt;=5,"Newcomer",AND(D379&gt;=6,D379&lt;=10),"Proficient",D379&gt;10,"Expert")</f>
        <v>Expert</v>
      </c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 t="str" cm="1">
        <f t="array" ref="M379">_xlfn.IFS(L379="Retirement","Voluntary",L379="Resignation","Voluntary",L379="Layoff","InVoluntary")</f>
        <v>InVoluntary</v>
      </c>
      <c r="N379" s="4" t="s">
        <v>26</v>
      </c>
      <c r="O379" s="41"/>
      <c r="P379">
        <v>1</v>
      </c>
      <c r="Q379" t="s">
        <v>174</v>
      </c>
    </row>
    <row r="380" spans="1:17" x14ac:dyDescent="0.35">
      <c r="A380" s="4">
        <v>2893</v>
      </c>
      <c r="B380" s="5">
        <v>40705</v>
      </c>
      <c r="C380" s="5">
        <v>43877</v>
      </c>
      <c r="D380" s="4">
        <v>9</v>
      </c>
      <c r="E380" s="6" t="str" cm="1">
        <f t="array" ref="E380">_xlfn.IFS(D380&lt;=5,"Newcomer",AND(D380&gt;=6,D380&lt;=10),"Proficient",D380&gt;10,"Expert")</f>
        <v>Proficient</v>
      </c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 t="str" cm="1">
        <f t="array" ref="M380">_xlfn.IFS(L380="Retirement","Voluntary",L380="Resignation","Voluntary",L380="Layoff","InVoluntary")</f>
        <v>Voluntary</v>
      </c>
      <c r="N380" s="4" t="s">
        <v>26</v>
      </c>
      <c r="O380" s="41"/>
      <c r="P380">
        <v>1</v>
      </c>
      <c r="Q380" t="s">
        <v>173</v>
      </c>
    </row>
    <row r="381" spans="1:17" x14ac:dyDescent="0.35">
      <c r="A381" s="4">
        <v>2894</v>
      </c>
      <c r="B381" s="5">
        <v>39036</v>
      </c>
      <c r="C381" s="5">
        <v>44048</v>
      </c>
      <c r="D381" s="4">
        <v>14</v>
      </c>
      <c r="E381" s="6" t="str" cm="1">
        <f t="array" ref="E381">_xlfn.IFS(D381&lt;=5,"Newcomer",AND(D381&gt;=6,D381&lt;=10),"Proficient",D381&gt;10,"Expert")</f>
        <v>Expert</v>
      </c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 t="str" cm="1">
        <f t="array" ref="M381">_xlfn.IFS(L381="Retirement","Voluntary",L381="Resignation","Voluntary",L381="Layoff","InVoluntary")</f>
        <v>Voluntary</v>
      </c>
      <c r="N381" s="4" t="s">
        <v>26</v>
      </c>
      <c r="O381" s="41"/>
      <c r="P381">
        <v>1</v>
      </c>
      <c r="Q381" t="s">
        <v>173</v>
      </c>
    </row>
    <row r="382" spans="1:17" x14ac:dyDescent="0.35">
      <c r="A382" s="4">
        <v>2895</v>
      </c>
      <c r="B382" s="5">
        <v>35291</v>
      </c>
      <c r="C382" s="5">
        <v>43952</v>
      </c>
      <c r="D382" s="4">
        <v>24</v>
      </c>
      <c r="E382" s="6" t="str" cm="1">
        <f t="array" ref="E382">_xlfn.IFS(D382&lt;=5,"Newcomer",AND(D382&gt;=6,D382&lt;=10),"Proficient",D382&gt;10,"Expert")</f>
        <v>Expert</v>
      </c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 t="str" cm="1">
        <f t="array" ref="M382">_xlfn.IFS(L382="Retirement","Voluntary",L382="Resignation","Voluntary",L382="Layoff","InVoluntary")</f>
        <v>Voluntary</v>
      </c>
      <c r="N382" s="4" t="s">
        <v>26</v>
      </c>
      <c r="O382" s="41"/>
      <c r="P382">
        <v>1</v>
      </c>
      <c r="Q382" t="s">
        <v>173</v>
      </c>
    </row>
    <row r="383" spans="1:17" x14ac:dyDescent="0.35">
      <c r="A383" s="4">
        <v>2900</v>
      </c>
      <c r="B383" s="5">
        <v>37952</v>
      </c>
      <c r="C383" s="5">
        <v>44133</v>
      </c>
      <c r="D383" s="4">
        <v>17</v>
      </c>
      <c r="E383" s="6" t="str" cm="1">
        <f t="array" ref="E383">_xlfn.IFS(D383&lt;=5,"Newcomer",AND(D383&gt;=6,D383&lt;=10),"Proficient",D383&gt;10,"Expert")</f>
        <v>Expert</v>
      </c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 t="str" cm="1">
        <f t="array" ref="M383">_xlfn.IFS(L383="Retirement","Voluntary",L383="Resignation","Voluntary",L383="Layoff","InVoluntary")</f>
        <v>Voluntary</v>
      </c>
      <c r="N383" s="4" t="s">
        <v>26</v>
      </c>
      <c r="O383" s="41"/>
      <c r="P383">
        <v>1</v>
      </c>
      <c r="Q383" t="s">
        <v>173</v>
      </c>
    </row>
    <row r="384" spans="1:17" x14ac:dyDescent="0.35">
      <c r="A384" s="4">
        <v>2907</v>
      </c>
      <c r="B384" s="5">
        <v>37380</v>
      </c>
      <c r="C384" s="5">
        <v>43842</v>
      </c>
      <c r="D384" s="4">
        <v>18</v>
      </c>
      <c r="E384" s="6" t="str" cm="1">
        <f t="array" ref="E384">_xlfn.IFS(D384&lt;=5,"Newcomer",AND(D384&gt;=6,D384&lt;=10),"Proficient",D384&gt;10,"Expert")</f>
        <v>Expert</v>
      </c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 t="str" cm="1">
        <f t="array" ref="M384">_xlfn.IFS(L384="Retirement","Voluntary",L384="Resignation","Voluntary",L384="Layoff","InVoluntary")</f>
        <v>Voluntary</v>
      </c>
      <c r="N384" s="4" t="s">
        <v>26</v>
      </c>
      <c r="O384" s="41"/>
      <c r="P384">
        <v>1</v>
      </c>
      <c r="Q384" t="s">
        <v>173</v>
      </c>
    </row>
    <row r="385" spans="1:17" x14ac:dyDescent="0.35">
      <c r="A385" s="4">
        <v>2910</v>
      </c>
      <c r="B385" s="5">
        <v>33836</v>
      </c>
      <c r="C385" s="5">
        <v>44150</v>
      </c>
      <c r="D385" s="4">
        <v>28</v>
      </c>
      <c r="E385" s="6" t="str" cm="1">
        <f t="array" ref="E385">_xlfn.IFS(D385&lt;=5,"Newcomer",AND(D385&gt;=6,D385&lt;=10),"Proficient",D385&gt;10,"Expert")</f>
        <v>Expert</v>
      </c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 t="str" cm="1">
        <f t="array" ref="M385">_xlfn.IFS(L385="Retirement","Voluntary",L385="Resignation","Voluntary",L385="Layoff","InVoluntary")</f>
        <v>Voluntary</v>
      </c>
      <c r="N385" s="4" t="s">
        <v>26</v>
      </c>
      <c r="O385" s="41"/>
      <c r="P385">
        <v>1</v>
      </c>
      <c r="Q385" t="s">
        <v>173</v>
      </c>
    </row>
    <row r="386" spans="1:17" x14ac:dyDescent="0.35">
      <c r="A386" s="4">
        <v>2913</v>
      </c>
      <c r="B386" s="5">
        <v>38964</v>
      </c>
      <c r="C386" s="5">
        <v>43831</v>
      </c>
      <c r="D386" s="4">
        <v>14</v>
      </c>
      <c r="E386" s="6" t="str" cm="1">
        <f t="array" ref="E386">_xlfn.IFS(D386&lt;=5,"Newcomer",AND(D386&gt;=6,D386&lt;=10),"Proficient",D386&gt;10,"Expert")</f>
        <v>Expert</v>
      </c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 t="str" cm="1">
        <f t="array" ref="M386">_xlfn.IFS(L386="Retirement","Voluntary",L386="Resignation","Voluntary",L386="Layoff","InVoluntary")</f>
        <v>Voluntary</v>
      </c>
      <c r="N386" s="4" t="s">
        <v>26</v>
      </c>
      <c r="O386" s="41"/>
      <c r="P386">
        <v>1</v>
      </c>
      <c r="Q386" t="s">
        <v>173</v>
      </c>
    </row>
    <row r="387" spans="1:17" x14ac:dyDescent="0.35">
      <c r="A387" s="4">
        <v>2916</v>
      </c>
      <c r="B387" s="5">
        <v>34583</v>
      </c>
      <c r="C387" s="5">
        <v>44006</v>
      </c>
      <c r="D387" s="4">
        <v>26</v>
      </c>
      <c r="E387" s="6" t="str" cm="1">
        <f t="array" ref="E387">_xlfn.IFS(D387&lt;=5,"Newcomer",AND(D387&gt;=6,D387&lt;=10),"Proficient",D387&gt;10,"Expert")</f>
        <v>Expert</v>
      </c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 t="str" cm="1">
        <f t="array" ref="M387">_xlfn.IFS(L387="Retirement","Voluntary",L387="Resignation","Voluntary",L387="Layoff","InVoluntary")</f>
        <v>Voluntary</v>
      </c>
      <c r="N387" s="4" t="s">
        <v>26</v>
      </c>
      <c r="O387" s="41"/>
      <c r="P387">
        <v>1</v>
      </c>
      <c r="Q387" t="s">
        <v>173</v>
      </c>
    </row>
    <row r="388" spans="1:17" x14ac:dyDescent="0.35">
      <c r="A388" s="4">
        <v>2918</v>
      </c>
      <c r="B388" s="5">
        <v>33391</v>
      </c>
      <c r="C388" s="5">
        <v>43915</v>
      </c>
      <c r="D388" s="4">
        <v>29</v>
      </c>
      <c r="E388" s="6" t="str" cm="1">
        <f t="array" ref="E388">_xlfn.IFS(D388&lt;=5,"Newcomer",AND(D388&gt;=6,D388&lt;=10),"Proficient",D388&gt;10,"Expert")</f>
        <v>Expert</v>
      </c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 t="str" cm="1">
        <f t="array" ref="M388">_xlfn.IFS(L388="Retirement","Voluntary",L388="Resignation","Voluntary",L388="Layoff","InVoluntary")</f>
        <v>Voluntary</v>
      </c>
      <c r="N388" s="4" t="s">
        <v>26</v>
      </c>
      <c r="O388" s="41"/>
      <c r="P388">
        <v>1</v>
      </c>
      <c r="Q388" t="s">
        <v>173</v>
      </c>
    </row>
    <row r="389" spans="1:17" x14ac:dyDescent="0.35">
      <c r="A389" s="4">
        <v>2919</v>
      </c>
      <c r="B389" s="5">
        <v>36099</v>
      </c>
      <c r="C389" s="5">
        <v>43844</v>
      </c>
      <c r="D389" s="4">
        <v>22</v>
      </c>
      <c r="E389" s="6" t="str" cm="1">
        <f t="array" ref="E389">_xlfn.IFS(D389&lt;=5,"Newcomer",AND(D389&gt;=6,D389&lt;=10),"Proficient",D389&gt;10,"Expert")</f>
        <v>Expert</v>
      </c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 t="str" cm="1">
        <f t="array" ref="M389">_xlfn.IFS(L389="Retirement","Voluntary",L389="Resignation","Voluntary",L389="Layoff","InVoluntary")</f>
        <v>Voluntary</v>
      </c>
      <c r="N389" s="4" t="s">
        <v>26</v>
      </c>
      <c r="O389" s="41"/>
      <c r="P389">
        <v>1</v>
      </c>
      <c r="Q389" t="s">
        <v>173</v>
      </c>
    </row>
    <row r="390" spans="1:17" x14ac:dyDescent="0.35">
      <c r="A390" s="4">
        <v>2932</v>
      </c>
      <c r="B390" s="5">
        <v>37819</v>
      </c>
      <c r="C390" s="5">
        <v>43871</v>
      </c>
      <c r="D390" s="4">
        <v>17</v>
      </c>
      <c r="E390" s="6" t="str" cm="1">
        <f t="array" ref="E390">_xlfn.IFS(D390&lt;=5,"Newcomer",AND(D390&gt;=6,D390&lt;=10),"Proficient",D390&gt;10,"Expert")</f>
        <v>Expert</v>
      </c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 t="str" cm="1">
        <f t="array" ref="M390">_xlfn.IFS(L390="Retirement","Voluntary",L390="Resignation","Voluntary",L390="Layoff","InVoluntary")</f>
        <v>Voluntary</v>
      </c>
      <c r="N390" s="4" t="s">
        <v>26</v>
      </c>
      <c r="O390" s="41"/>
      <c r="P390">
        <v>1</v>
      </c>
      <c r="Q390" t="s">
        <v>173</v>
      </c>
    </row>
    <row r="391" spans="1:17" x14ac:dyDescent="0.35">
      <c r="A391" s="4">
        <v>2935</v>
      </c>
      <c r="B391" s="5">
        <v>40618</v>
      </c>
      <c r="C391" s="5">
        <v>44194</v>
      </c>
      <c r="D391" s="4">
        <v>9</v>
      </c>
      <c r="E391" s="6" t="str" cm="1">
        <f t="array" ref="E391">_xlfn.IFS(D391&lt;=5,"Newcomer",AND(D391&gt;=6,D391&lt;=10),"Proficient",D391&gt;10,"Expert")</f>
        <v>Proficient</v>
      </c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 t="str" cm="1">
        <f t="array" ref="M391">_xlfn.IFS(L391="Retirement","Voluntary",L391="Resignation","Voluntary",L391="Layoff","InVoluntary")</f>
        <v>Voluntary</v>
      </c>
      <c r="N391" s="4" t="s">
        <v>26</v>
      </c>
      <c r="O391" s="41"/>
      <c r="P391">
        <v>1</v>
      </c>
      <c r="Q391" t="s">
        <v>173</v>
      </c>
    </row>
    <row r="392" spans="1:17" x14ac:dyDescent="0.35">
      <c r="A392" s="4">
        <v>2937</v>
      </c>
      <c r="B392" s="5">
        <v>33682</v>
      </c>
      <c r="C392" s="5">
        <v>44156</v>
      </c>
      <c r="D392" s="4">
        <v>28</v>
      </c>
      <c r="E392" s="6" t="str" cm="1">
        <f t="array" ref="E392">_xlfn.IFS(D392&lt;=5,"Newcomer",AND(D392&gt;=6,D392&lt;=10),"Proficient",D392&gt;10,"Expert")</f>
        <v>Expert</v>
      </c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 t="str" cm="1">
        <f t="array" ref="M392">_xlfn.IFS(L392="Retirement","Voluntary",L392="Resignation","Voluntary",L392="Layoff","InVoluntary")</f>
        <v>Voluntary</v>
      </c>
      <c r="N392" s="4" t="s">
        <v>26</v>
      </c>
      <c r="O392" s="41"/>
      <c r="P392">
        <v>1</v>
      </c>
      <c r="Q392" t="s">
        <v>173</v>
      </c>
    </row>
    <row r="393" spans="1:17" x14ac:dyDescent="0.35">
      <c r="A393" s="4">
        <v>2938</v>
      </c>
      <c r="B393" s="5">
        <v>37574</v>
      </c>
      <c r="C393" s="5">
        <v>43986</v>
      </c>
      <c r="D393" s="4">
        <v>18</v>
      </c>
      <c r="E393" s="6" t="str" cm="1">
        <f t="array" ref="E393">_xlfn.IFS(D393&lt;=5,"Newcomer",AND(D393&gt;=6,D393&lt;=10),"Proficient",D393&gt;10,"Expert")</f>
        <v>Expert</v>
      </c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 t="str" cm="1">
        <f t="array" ref="M393">_xlfn.IFS(L393="Retirement","Voluntary",L393="Resignation","Voluntary",L393="Layoff","InVoluntary")</f>
        <v>Voluntary</v>
      </c>
      <c r="N393" s="4" t="s">
        <v>26</v>
      </c>
      <c r="O393" s="41"/>
      <c r="P393">
        <v>1</v>
      </c>
      <c r="Q393" t="s">
        <v>173</v>
      </c>
    </row>
    <row r="394" spans="1:17" x14ac:dyDescent="0.35">
      <c r="A394" s="4">
        <v>2941</v>
      </c>
      <c r="B394" s="5">
        <v>36399</v>
      </c>
      <c r="C394" s="5">
        <v>44167</v>
      </c>
      <c r="D394" s="4">
        <v>21</v>
      </c>
      <c r="E394" s="6" t="str" cm="1">
        <f t="array" ref="E394">_xlfn.IFS(D394&lt;=5,"Newcomer",AND(D394&gt;=6,D394&lt;=10),"Proficient",D394&gt;10,"Expert")</f>
        <v>Expert</v>
      </c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 t="str" cm="1">
        <f t="array" ref="M394">_xlfn.IFS(L394="Retirement","Voluntary",L394="Resignation","Voluntary",L394="Layoff","InVoluntary")</f>
        <v>Voluntary</v>
      </c>
      <c r="N394" s="4" t="s">
        <v>26</v>
      </c>
      <c r="O394" s="41"/>
      <c r="P394">
        <v>1</v>
      </c>
      <c r="Q394" t="s">
        <v>173</v>
      </c>
    </row>
    <row r="395" spans="1:17" x14ac:dyDescent="0.35">
      <c r="A395" s="4">
        <v>2942</v>
      </c>
      <c r="B395" s="5">
        <v>42222</v>
      </c>
      <c r="C395" s="5">
        <v>43875</v>
      </c>
      <c r="D395" s="4">
        <v>5</v>
      </c>
      <c r="E395" s="6" t="str" cm="1">
        <f t="array" ref="E395">_xlfn.IFS(D395&lt;=5,"Newcomer",AND(D395&gt;=6,D395&lt;=10),"Proficient",D395&gt;10,"Expert")</f>
        <v>Newcomer</v>
      </c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 t="str" cm="1">
        <f t="array" ref="M395">_xlfn.IFS(L395="Retirement","Voluntary",L395="Resignation","Voluntary",L395="Layoff","InVoluntary")</f>
        <v>Voluntary</v>
      </c>
      <c r="N395" s="4" t="s">
        <v>26</v>
      </c>
      <c r="O395" s="41"/>
      <c r="P395">
        <v>1</v>
      </c>
      <c r="Q395" t="s">
        <v>173</v>
      </c>
    </row>
    <row r="396" spans="1:17" x14ac:dyDescent="0.35">
      <c r="A396" s="4">
        <v>2946</v>
      </c>
      <c r="B396" s="5">
        <v>34636</v>
      </c>
      <c r="C396" s="5">
        <v>43891</v>
      </c>
      <c r="D396" s="4">
        <v>26</v>
      </c>
      <c r="E396" s="6" t="str" cm="1">
        <f t="array" ref="E396">_xlfn.IFS(D396&lt;=5,"Newcomer",AND(D396&gt;=6,D396&lt;=10),"Proficient",D396&gt;10,"Expert")</f>
        <v>Expert</v>
      </c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 t="str" cm="1">
        <f t="array" ref="M396">_xlfn.IFS(L396="Retirement","Voluntary",L396="Resignation","Voluntary",L396="Layoff","InVoluntary")</f>
        <v>Voluntary</v>
      </c>
      <c r="N396" s="4" t="s">
        <v>26</v>
      </c>
      <c r="O396" s="41"/>
      <c r="P396">
        <v>1</v>
      </c>
      <c r="Q396" t="s">
        <v>173</v>
      </c>
    </row>
    <row r="397" spans="1:17" x14ac:dyDescent="0.35">
      <c r="A397" s="4">
        <v>2953</v>
      </c>
      <c r="B397" s="5">
        <v>34321</v>
      </c>
      <c r="C397" s="5">
        <v>44004</v>
      </c>
      <c r="D397" s="4">
        <v>27</v>
      </c>
      <c r="E397" s="6" t="str" cm="1">
        <f t="array" ref="E397">_xlfn.IFS(D397&lt;=5,"Newcomer",AND(D397&gt;=6,D397&lt;=10),"Proficient",D397&gt;10,"Expert")</f>
        <v>Expert</v>
      </c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 t="str" cm="1">
        <f t="array" ref="M397">_xlfn.IFS(L397="Retirement","Voluntary",L397="Resignation","Voluntary",L397="Layoff","InVoluntary")</f>
        <v>Voluntary</v>
      </c>
      <c r="N397" s="4" t="s">
        <v>26</v>
      </c>
      <c r="O397" s="41"/>
      <c r="P397">
        <v>1</v>
      </c>
      <c r="Q397" t="s">
        <v>173</v>
      </c>
    </row>
    <row r="398" spans="1:17" x14ac:dyDescent="0.35">
      <c r="A398" s="4">
        <v>2963</v>
      </c>
      <c r="B398" s="5">
        <v>40544</v>
      </c>
      <c r="C398" s="5">
        <v>44163</v>
      </c>
      <c r="D398" s="4">
        <v>9</v>
      </c>
      <c r="E398" s="6" t="str" cm="1">
        <f t="array" ref="E398">_xlfn.IFS(D398&lt;=5,"Newcomer",AND(D398&gt;=6,D398&lt;=10),"Proficient",D398&gt;10,"Expert")</f>
        <v>Proficient</v>
      </c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 t="str" cm="1">
        <f t="array" ref="M398">_xlfn.IFS(L398="Retirement","Voluntary",L398="Resignation","Voluntary",L398="Layoff","InVoluntary")</f>
        <v>Voluntary</v>
      </c>
      <c r="N398" s="4" t="s">
        <v>26</v>
      </c>
      <c r="O398" s="41"/>
      <c r="P398">
        <v>1</v>
      </c>
      <c r="Q398" t="s">
        <v>173</v>
      </c>
    </row>
    <row r="399" spans="1:17" x14ac:dyDescent="0.35">
      <c r="A399" s="4">
        <v>2965</v>
      </c>
      <c r="B399" s="5">
        <v>39652</v>
      </c>
      <c r="C399" s="5">
        <v>43878</v>
      </c>
      <c r="D399" s="4">
        <v>12</v>
      </c>
      <c r="E399" s="6" t="str" cm="1">
        <f t="array" ref="E399">_xlfn.IFS(D399&lt;=5,"Newcomer",AND(D399&gt;=6,D399&lt;=10),"Proficient",D399&gt;10,"Expert")</f>
        <v>Expert</v>
      </c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 t="str" cm="1">
        <f t="array" ref="M399">_xlfn.IFS(L399="Retirement","Voluntary",L399="Resignation","Voluntary",L399="Layoff","InVoluntary")</f>
        <v>Voluntary</v>
      </c>
      <c r="N399" s="4" t="s">
        <v>26</v>
      </c>
      <c r="O399" s="41"/>
      <c r="P399">
        <v>1</v>
      </c>
      <c r="Q399" t="s">
        <v>173</v>
      </c>
    </row>
    <row r="400" spans="1:17" x14ac:dyDescent="0.35">
      <c r="A400" s="4">
        <v>2970</v>
      </c>
      <c r="B400" s="5">
        <v>37284</v>
      </c>
      <c r="C400" s="5">
        <v>44015</v>
      </c>
      <c r="D400" s="4">
        <v>18</v>
      </c>
      <c r="E400" s="6" t="str" cm="1">
        <f t="array" ref="E400">_xlfn.IFS(D400&lt;=5,"Newcomer",AND(D400&gt;=6,D400&lt;=10),"Proficient",D400&gt;10,"Expert")</f>
        <v>Expert</v>
      </c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 t="str" cm="1">
        <f t="array" ref="M400">_xlfn.IFS(L400="Retirement","Voluntary",L400="Resignation","Voluntary",L400="Layoff","InVoluntary")</f>
        <v>Voluntary</v>
      </c>
      <c r="N400" s="4" t="s">
        <v>26</v>
      </c>
      <c r="O400" s="41"/>
      <c r="P400">
        <v>1</v>
      </c>
      <c r="Q400" t="s">
        <v>173</v>
      </c>
    </row>
    <row r="401" spans="1:17" x14ac:dyDescent="0.35">
      <c r="A401" s="4">
        <v>2971</v>
      </c>
      <c r="B401" s="5">
        <v>35624</v>
      </c>
      <c r="C401" s="5">
        <v>44150</v>
      </c>
      <c r="D401" s="4">
        <v>23</v>
      </c>
      <c r="E401" s="6" t="str" cm="1">
        <f t="array" ref="E401">_xlfn.IFS(D401&lt;=5,"Newcomer",AND(D401&gt;=6,D401&lt;=10),"Proficient",D401&gt;10,"Expert")</f>
        <v>Expert</v>
      </c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 t="str" cm="1">
        <f t="array" ref="M401">_xlfn.IFS(L401="Retirement","Voluntary",L401="Resignation","Voluntary",L401="Layoff","InVoluntary")</f>
        <v>Voluntary</v>
      </c>
      <c r="N401" s="4" t="s">
        <v>26</v>
      </c>
      <c r="O401" s="41"/>
      <c r="P401">
        <v>1</v>
      </c>
      <c r="Q401" t="s">
        <v>173</v>
      </c>
    </row>
    <row r="402" spans="1:17" x14ac:dyDescent="0.35">
      <c r="A402" s="4">
        <v>2972</v>
      </c>
      <c r="B402" s="5">
        <v>37311</v>
      </c>
      <c r="C402" s="5">
        <v>43892</v>
      </c>
      <c r="D402" s="4">
        <v>18</v>
      </c>
      <c r="E402" s="6" t="str" cm="1">
        <f t="array" ref="E402">_xlfn.IFS(D402&lt;=5,"Newcomer",AND(D402&gt;=6,D402&lt;=10),"Proficient",D402&gt;10,"Expert")</f>
        <v>Expert</v>
      </c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 t="str" cm="1">
        <f t="array" ref="M402">_xlfn.IFS(L402="Retirement","Voluntary",L402="Resignation","Voluntary",L402="Layoff","InVoluntary")</f>
        <v>InVoluntary</v>
      </c>
      <c r="N402" s="4" t="s">
        <v>26</v>
      </c>
      <c r="O402" s="41"/>
      <c r="P402">
        <v>1</v>
      </c>
      <c r="Q402" t="s">
        <v>174</v>
      </c>
    </row>
    <row r="403" spans="1:17" x14ac:dyDescent="0.35">
      <c r="A403" s="4">
        <v>2974</v>
      </c>
      <c r="B403" s="5">
        <v>39138</v>
      </c>
      <c r="C403" s="5">
        <v>44142</v>
      </c>
      <c r="D403" s="4">
        <v>13</v>
      </c>
      <c r="E403" s="6" t="str" cm="1">
        <f t="array" ref="E403">_xlfn.IFS(D403&lt;=5,"Newcomer",AND(D403&gt;=6,D403&lt;=10),"Proficient",D403&gt;10,"Expert")</f>
        <v>Expert</v>
      </c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 t="str" cm="1">
        <f t="array" ref="M403">_xlfn.IFS(L403="Retirement","Voluntary",L403="Resignation","Voluntary",L403="Layoff","InVoluntary")</f>
        <v>Voluntary</v>
      </c>
      <c r="N403" s="4" t="s">
        <v>26</v>
      </c>
      <c r="O403" s="41"/>
      <c r="P403">
        <v>1</v>
      </c>
      <c r="Q403" t="s">
        <v>173</v>
      </c>
    </row>
    <row r="404" spans="1:17" x14ac:dyDescent="0.35">
      <c r="A404" s="4">
        <v>2977</v>
      </c>
      <c r="B404" s="5">
        <v>40506</v>
      </c>
      <c r="C404" s="5">
        <v>43875</v>
      </c>
      <c r="D404" s="4">
        <v>10</v>
      </c>
      <c r="E404" s="6" t="str" cm="1">
        <f t="array" ref="E404">_xlfn.IFS(D404&lt;=5,"Newcomer",AND(D404&gt;=6,D404&lt;=10),"Proficient",D404&gt;10,"Expert")</f>
        <v>Proficient</v>
      </c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 t="str" cm="1">
        <f t="array" ref="M404">_xlfn.IFS(L404="Retirement","Voluntary",L404="Resignation","Voluntary",L404="Layoff","InVoluntary")</f>
        <v>Voluntary</v>
      </c>
      <c r="N404" s="4" t="s">
        <v>26</v>
      </c>
      <c r="O404" s="41"/>
      <c r="P404">
        <v>1</v>
      </c>
      <c r="Q404" t="s">
        <v>173</v>
      </c>
    </row>
    <row r="405" spans="1:17" x14ac:dyDescent="0.35">
      <c r="A405" s="4">
        <v>2980</v>
      </c>
      <c r="B405" s="5">
        <v>40332</v>
      </c>
      <c r="C405" s="5">
        <v>44023</v>
      </c>
      <c r="D405" s="4">
        <v>10</v>
      </c>
      <c r="E405" s="6" t="str" cm="1">
        <f t="array" ref="E405">_xlfn.IFS(D405&lt;=5,"Newcomer",AND(D405&gt;=6,D405&lt;=10),"Proficient",D405&gt;10,"Expert")</f>
        <v>Proficient</v>
      </c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 t="str" cm="1">
        <f t="array" ref="M405">_xlfn.IFS(L405="Retirement","Voluntary",L405="Resignation","Voluntary",L405="Layoff","InVoluntary")</f>
        <v>Voluntary</v>
      </c>
      <c r="N405" s="4" t="s">
        <v>26</v>
      </c>
      <c r="O405" s="41"/>
      <c r="P405">
        <v>1</v>
      </c>
      <c r="Q405" t="s">
        <v>173</v>
      </c>
    </row>
    <row r="406" spans="1:17" x14ac:dyDescent="0.35">
      <c r="A406" s="4">
        <v>2987</v>
      </c>
      <c r="B406" s="5">
        <v>39454</v>
      </c>
      <c r="C406" s="5">
        <v>44061</v>
      </c>
      <c r="D406" s="4">
        <v>12</v>
      </c>
      <c r="E406" s="6" t="str" cm="1">
        <f t="array" ref="E406">_xlfn.IFS(D406&lt;=5,"Newcomer",AND(D406&gt;=6,D406&lt;=10),"Proficient",D406&gt;10,"Expert")</f>
        <v>Expert</v>
      </c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 t="str" cm="1">
        <f t="array" ref="M406">_xlfn.IFS(L406="Retirement","Voluntary",L406="Resignation","Voluntary",L406="Layoff","InVoluntary")</f>
        <v>Voluntary</v>
      </c>
      <c r="N406" s="4" t="s">
        <v>26</v>
      </c>
      <c r="O406" s="41"/>
      <c r="P406">
        <v>1</v>
      </c>
      <c r="Q406" t="s">
        <v>173</v>
      </c>
    </row>
    <row r="407" spans="1:17" x14ac:dyDescent="0.35">
      <c r="A407" s="4">
        <v>2988</v>
      </c>
      <c r="B407" s="5">
        <v>38624</v>
      </c>
      <c r="C407" s="5">
        <v>44062</v>
      </c>
      <c r="D407" s="4">
        <v>15</v>
      </c>
      <c r="E407" s="6" t="str" cm="1">
        <f t="array" ref="E407">_xlfn.IFS(D407&lt;=5,"Newcomer",AND(D407&gt;=6,D407&lt;=10),"Proficient",D407&gt;10,"Expert")</f>
        <v>Expert</v>
      </c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 t="str" cm="1">
        <f t="array" ref="M407">_xlfn.IFS(L407="Retirement","Voluntary",L407="Resignation","Voluntary",L407="Layoff","InVoluntary")</f>
        <v>Voluntary</v>
      </c>
      <c r="N407" s="4" t="s">
        <v>26</v>
      </c>
      <c r="O407" s="41"/>
      <c r="P407">
        <v>1</v>
      </c>
      <c r="Q407" t="s">
        <v>173</v>
      </c>
    </row>
    <row r="408" spans="1:17" x14ac:dyDescent="0.35">
      <c r="A408" s="4">
        <v>2991</v>
      </c>
      <c r="B408" s="5">
        <v>37133</v>
      </c>
      <c r="C408" s="5">
        <v>44064</v>
      </c>
      <c r="D408" s="4">
        <v>19</v>
      </c>
      <c r="E408" s="6" t="str" cm="1">
        <f t="array" ref="E408">_xlfn.IFS(D408&lt;=5,"Newcomer",AND(D408&gt;=6,D408&lt;=10),"Proficient",D408&gt;10,"Expert")</f>
        <v>Expert</v>
      </c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 t="str" cm="1">
        <f t="array" ref="M408">_xlfn.IFS(L408="Retirement","Voluntary",L408="Resignation","Voluntary",L408="Layoff","InVoluntary")</f>
        <v>Voluntary</v>
      </c>
      <c r="N408" s="4" t="s">
        <v>26</v>
      </c>
      <c r="O408" s="41"/>
      <c r="P408">
        <v>1</v>
      </c>
      <c r="Q408" t="s">
        <v>173</v>
      </c>
    </row>
    <row r="409" spans="1:17" x14ac:dyDescent="0.35">
      <c r="A409" s="4">
        <v>2998</v>
      </c>
      <c r="B409" s="5">
        <v>35340</v>
      </c>
      <c r="C409" s="5">
        <v>44161</v>
      </c>
      <c r="D409" s="4">
        <v>24</v>
      </c>
      <c r="E409" s="6" t="str" cm="1">
        <f t="array" ref="E409">_xlfn.IFS(D409&lt;=5,"Newcomer",AND(D409&gt;=6,D409&lt;=10),"Proficient",D409&gt;10,"Expert")</f>
        <v>Expert</v>
      </c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 t="str" cm="1">
        <f t="array" ref="M409">_xlfn.IFS(L409="Retirement","Voluntary",L409="Resignation","Voluntary",L409="Layoff","InVoluntary")</f>
        <v>InVoluntary</v>
      </c>
      <c r="N409" s="4" t="s">
        <v>26</v>
      </c>
      <c r="O409" s="41"/>
      <c r="P409">
        <v>1</v>
      </c>
      <c r="Q409" t="s">
        <v>174</v>
      </c>
    </row>
    <row r="410" spans="1:17" x14ac:dyDescent="0.35">
      <c r="A410" s="4">
        <v>3000</v>
      </c>
      <c r="B410" s="5">
        <v>36754</v>
      </c>
      <c r="C410" s="5">
        <v>44160</v>
      </c>
      <c r="D410" s="4">
        <v>20</v>
      </c>
      <c r="E410" s="6" t="str" cm="1">
        <f t="array" ref="E410">_xlfn.IFS(D410&lt;=5,"Newcomer",AND(D410&gt;=6,D410&lt;=10),"Proficient",D410&gt;10,"Expert")</f>
        <v>Expert</v>
      </c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 t="str" cm="1">
        <f t="array" ref="M410">_xlfn.IFS(L410="Retirement","Voluntary",L410="Resignation","Voluntary",L410="Layoff","InVoluntary")</f>
        <v>Voluntary</v>
      </c>
      <c r="N410" s="4" t="s">
        <v>26</v>
      </c>
      <c r="O410" s="41"/>
      <c r="P410">
        <v>1</v>
      </c>
      <c r="Q410" t="s">
        <v>173</v>
      </c>
    </row>
    <row r="411" spans="1:17" x14ac:dyDescent="0.35">
      <c r="A411" s="4">
        <v>3002</v>
      </c>
      <c r="B411" s="5">
        <v>38302</v>
      </c>
      <c r="C411" s="5">
        <v>44157</v>
      </c>
      <c r="D411" s="4">
        <v>16</v>
      </c>
      <c r="E411" s="6" t="str" cm="1">
        <f t="array" ref="E411">_xlfn.IFS(D411&lt;=5,"Newcomer",AND(D411&gt;=6,D411&lt;=10),"Proficient",D411&gt;10,"Expert")</f>
        <v>Expert</v>
      </c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 t="str" cm="1">
        <f t="array" ref="M411">_xlfn.IFS(L411="Retirement","Voluntary",L411="Resignation","Voluntary",L411="Layoff","InVoluntary")</f>
        <v>Voluntary</v>
      </c>
      <c r="N411" s="4" t="s">
        <v>26</v>
      </c>
      <c r="O411" s="41"/>
      <c r="P411">
        <v>1</v>
      </c>
      <c r="Q411" t="s">
        <v>173</v>
      </c>
    </row>
    <row r="412" spans="1:17" x14ac:dyDescent="0.35">
      <c r="A412" s="4">
        <v>3005</v>
      </c>
      <c r="B412" s="5">
        <v>36958</v>
      </c>
      <c r="C412" s="5">
        <v>43967</v>
      </c>
      <c r="D412" s="4">
        <v>19</v>
      </c>
      <c r="E412" s="6" t="str" cm="1">
        <f t="array" ref="E412">_xlfn.IFS(D412&lt;=5,"Newcomer",AND(D412&gt;=6,D412&lt;=10),"Proficient",D412&gt;10,"Expert")</f>
        <v>Expert</v>
      </c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 t="str" cm="1">
        <f t="array" ref="M412">_xlfn.IFS(L412="Retirement","Voluntary",L412="Resignation","Voluntary",L412="Layoff","InVoluntary")</f>
        <v>Voluntary</v>
      </c>
      <c r="N412" s="4" t="s">
        <v>26</v>
      </c>
      <c r="O412" s="41"/>
      <c r="P412">
        <v>1</v>
      </c>
      <c r="Q412" t="s">
        <v>173</v>
      </c>
    </row>
    <row r="413" spans="1:17" x14ac:dyDescent="0.35">
      <c r="A413" s="4">
        <v>3006</v>
      </c>
      <c r="B413" s="5">
        <v>41344</v>
      </c>
      <c r="C413" s="5">
        <v>44126</v>
      </c>
      <c r="D413" s="4">
        <v>7</v>
      </c>
      <c r="E413" s="6" t="str" cm="1">
        <f t="array" ref="E413">_xlfn.IFS(D413&lt;=5,"Newcomer",AND(D413&gt;=6,D413&lt;=10),"Proficient",D413&gt;10,"Expert")</f>
        <v>Proficient</v>
      </c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 t="str" cm="1">
        <f t="array" ref="M413">_xlfn.IFS(L413="Retirement","Voluntary",L413="Resignation","Voluntary",L413="Layoff","InVoluntary")</f>
        <v>Voluntary</v>
      </c>
      <c r="N413" s="4" t="s">
        <v>26</v>
      </c>
      <c r="O413" s="41"/>
      <c r="P413">
        <v>1</v>
      </c>
      <c r="Q413" t="s">
        <v>173</v>
      </c>
    </row>
    <row r="414" spans="1:17" x14ac:dyDescent="0.35">
      <c r="A414" s="4">
        <v>3008</v>
      </c>
      <c r="B414" s="5">
        <v>34230</v>
      </c>
      <c r="C414" s="5">
        <v>44046</v>
      </c>
      <c r="D414" s="4">
        <v>27</v>
      </c>
      <c r="E414" s="6" t="str" cm="1">
        <f t="array" ref="E414">_xlfn.IFS(D414&lt;=5,"Newcomer",AND(D414&gt;=6,D414&lt;=10),"Proficient",D414&gt;10,"Expert")</f>
        <v>Expert</v>
      </c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 t="str" cm="1">
        <f t="array" ref="M414">_xlfn.IFS(L414="Retirement","Voluntary",L414="Resignation","Voluntary",L414="Layoff","InVoluntary")</f>
        <v>Voluntary</v>
      </c>
      <c r="N414" s="4" t="s">
        <v>26</v>
      </c>
      <c r="O414" s="41"/>
      <c r="P414">
        <v>1</v>
      </c>
      <c r="Q414" t="s">
        <v>173</v>
      </c>
    </row>
    <row r="415" spans="1:17" x14ac:dyDescent="0.35">
      <c r="A415" s="4">
        <v>3012</v>
      </c>
      <c r="B415" s="5">
        <v>35432</v>
      </c>
      <c r="C415" s="5">
        <v>44123</v>
      </c>
      <c r="D415" s="4">
        <v>23</v>
      </c>
      <c r="E415" s="6" t="str" cm="1">
        <f t="array" ref="E415">_xlfn.IFS(D415&lt;=5,"Newcomer",AND(D415&gt;=6,D415&lt;=10),"Proficient",D415&gt;10,"Expert")</f>
        <v>Expert</v>
      </c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 t="str" cm="1">
        <f t="array" ref="M415">_xlfn.IFS(L415="Retirement","Voluntary",L415="Resignation","Voluntary",L415="Layoff","InVoluntary")</f>
        <v>InVoluntary</v>
      </c>
      <c r="N415" s="4" t="s">
        <v>26</v>
      </c>
      <c r="O415" s="41"/>
      <c r="P415">
        <v>1</v>
      </c>
      <c r="Q415" t="s">
        <v>174</v>
      </c>
    </row>
    <row r="416" spans="1:17" x14ac:dyDescent="0.35">
      <c r="A416" s="4">
        <v>3013</v>
      </c>
      <c r="B416" s="5">
        <v>37912</v>
      </c>
      <c r="C416" s="5">
        <v>44019</v>
      </c>
      <c r="D416" s="4">
        <v>17</v>
      </c>
      <c r="E416" s="6" t="str" cm="1">
        <f t="array" ref="E416">_xlfn.IFS(D416&lt;=5,"Newcomer",AND(D416&gt;=6,D416&lt;=10),"Proficient",D416&gt;10,"Expert")</f>
        <v>Expert</v>
      </c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 t="str" cm="1">
        <f t="array" ref="M416">_xlfn.IFS(L416="Retirement","Voluntary",L416="Resignation","Voluntary",L416="Layoff","InVoluntary")</f>
        <v>Voluntary</v>
      </c>
      <c r="N416" s="4" t="s">
        <v>26</v>
      </c>
      <c r="O416" s="41"/>
      <c r="P416">
        <v>1</v>
      </c>
      <c r="Q416" t="s">
        <v>173</v>
      </c>
    </row>
    <row r="417" spans="1:17" x14ac:dyDescent="0.35">
      <c r="A417" s="4">
        <v>3016</v>
      </c>
      <c r="B417" s="5">
        <v>37221</v>
      </c>
      <c r="C417" s="5">
        <v>43927</v>
      </c>
      <c r="D417" s="4">
        <v>19</v>
      </c>
      <c r="E417" s="6" t="str" cm="1">
        <f t="array" ref="E417">_xlfn.IFS(D417&lt;=5,"Newcomer",AND(D417&gt;=6,D417&lt;=10),"Proficient",D417&gt;10,"Expert")</f>
        <v>Expert</v>
      </c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 t="str" cm="1">
        <f t="array" ref="M417">_xlfn.IFS(L417="Retirement","Voluntary",L417="Resignation","Voluntary",L417="Layoff","InVoluntary")</f>
        <v>Voluntary</v>
      </c>
      <c r="N417" s="4" t="s">
        <v>26</v>
      </c>
      <c r="O417" s="41"/>
      <c r="P417">
        <v>1</v>
      </c>
      <c r="Q417" t="s">
        <v>173</v>
      </c>
    </row>
    <row r="418" spans="1:17" x14ac:dyDescent="0.35">
      <c r="A418" s="4">
        <v>3017</v>
      </c>
      <c r="B418" s="5">
        <v>39227</v>
      </c>
      <c r="C418" s="5">
        <v>43920</v>
      </c>
      <c r="D418" s="4">
        <v>13</v>
      </c>
      <c r="E418" s="6" t="str" cm="1">
        <f t="array" ref="E418">_xlfn.IFS(D418&lt;=5,"Newcomer",AND(D418&gt;=6,D418&lt;=10),"Proficient",D418&gt;10,"Expert")</f>
        <v>Expert</v>
      </c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 t="str" cm="1">
        <f t="array" ref="M418">_xlfn.IFS(L418="Retirement","Voluntary",L418="Resignation","Voluntary",L418="Layoff","InVoluntary")</f>
        <v>Voluntary</v>
      </c>
      <c r="N418" s="4" t="s">
        <v>26</v>
      </c>
      <c r="O418" s="41"/>
      <c r="P418">
        <v>1</v>
      </c>
      <c r="Q418" t="s">
        <v>173</v>
      </c>
    </row>
    <row r="419" spans="1:17" x14ac:dyDescent="0.35">
      <c r="A419" s="4">
        <v>3018</v>
      </c>
      <c r="B419" s="5">
        <v>34957</v>
      </c>
      <c r="C419" s="5">
        <v>43879</v>
      </c>
      <c r="D419" s="4">
        <v>25</v>
      </c>
      <c r="E419" s="6" t="str" cm="1">
        <f t="array" ref="E419">_xlfn.IFS(D419&lt;=5,"Newcomer",AND(D419&gt;=6,D419&lt;=10),"Proficient",D419&gt;10,"Expert")</f>
        <v>Expert</v>
      </c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 t="str" cm="1">
        <f t="array" ref="M419">_xlfn.IFS(L419="Retirement","Voluntary",L419="Resignation","Voluntary",L419="Layoff","InVoluntary")</f>
        <v>Voluntary</v>
      </c>
      <c r="N419" s="4" t="s">
        <v>26</v>
      </c>
      <c r="O419" s="41"/>
      <c r="P419">
        <v>1</v>
      </c>
      <c r="Q419" t="s">
        <v>173</v>
      </c>
    </row>
    <row r="420" spans="1:17" x14ac:dyDescent="0.35">
      <c r="A420" s="4">
        <v>3022</v>
      </c>
      <c r="B420" s="5">
        <v>33519</v>
      </c>
      <c r="C420" s="5">
        <v>43996</v>
      </c>
      <c r="D420" s="4">
        <v>29</v>
      </c>
      <c r="E420" s="6" t="str" cm="1">
        <f t="array" ref="E420">_xlfn.IFS(D420&lt;=5,"Newcomer",AND(D420&gt;=6,D420&lt;=10),"Proficient",D420&gt;10,"Expert")</f>
        <v>Expert</v>
      </c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 t="str" cm="1">
        <f t="array" ref="M420">_xlfn.IFS(L420="Retirement","Voluntary",L420="Resignation","Voluntary",L420="Layoff","InVoluntary")</f>
        <v>Voluntary</v>
      </c>
      <c r="N420" s="4" t="s">
        <v>26</v>
      </c>
      <c r="O420" s="41"/>
      <c r="P420">
        <v>1</v>
      </c>
      <c r="Q420" t="s">
        <v>173</v>
      </c>
    </row>
    <row r="421" spans="1:17" x14ac:dyDescent="0.35">
      <c r="A421" s="4">
        <v>3024</v>
      </c>
      <c r="B421" s="5">
        <v>35084</v>
      </c>
      <c r="C421" s="5">
        <v>43949</v>
      </c>
      <c r="D421" s="4">
        <v>24</v>
      </c>
      <c r="E421" s="6" t="str" cm="1">
        <f t="array" ref="E421">_xlfn.IFS(D421&lt;=5,"Newcomer",AND(D421&gt;=6,D421&lt;=10),"Proficient",D421&gt;10,"Expert")</f>
        <v>Expert</v>
      </c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 t="str" cm="1">
        <f t="array" ref="M421">_xlfn.IFS(L421="Retirement","Voluntary",L421="Resignation","Voluntary",L421="Layoff","InVoluntary")</f>
        <v>Voluntary</v>
      </c>
      <c r="N421" s="4" t="s">
        <v>26</v>
      </c>
      <c r="O421" s="41"/>
      <c r="P421">
        <v>1</v>
      </c>
      <c r="Q421" t="s">
        <v>173</v>
      </c>
    </row>
    <row r="422" spans="1:17" x14ac:dyDescent="0.35">
      <c r="A422" s="4">
        <v>3026</v>
      </c>
      <c r="B422" s="5">
        <v>35273</v>
      </c>
      <c r="C422" s="5">
        <v>44028</v>
      </c>
      <c r="D422" s="4">
        <v>24</v>
      </c>
      <c r="E422" s="6" t="str" cm="1">
        <f t="array" ref="E422">_xlfn.IFS(D422&lt;=5,"Newcomer",AND(D422&gt;=6,D422&lt;=10),"Proficient",D422&gt;10,"Expert")</f>
        <v>Expert</v>
      </c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 t="str" cm="1">
        <f t="array" ref="M422">_xlfn.IFS(L422="Retirement","Voluntary",L422="Resignation","Voluntary",L422="Layoff","InVoluntary")</f>
        <v>Voluntary</v>
      </c>
      <c r="N422" s="4" t="s">
        <v>26</v>
      </c>
      <c r="O422" s="41"/>
      <c r="P422">
        <v>1</v>
      </c>
      <c r="Q422" t="s">
        <v>173</v>
      </c>
    </row>
    <row r="423" spans="1:17" x14ac:dyDescent="0.35">
      <c r="A423" s="4">
        <v>3031</v>
      </c>
      <c r="B423" s="5">
        <v>36639</v>
      </c>
      <c r="C423" s="5">
        <v>44022</v>
      </c>
      <c r="D423" s="4">
        <v>20</v>
      </c>
      <c r="E423" s="6" t="str" cm="1">
        <f t="array" ref="E423">_xlfn.IFS(D423&lt;=5,"Newcomer",AND(D423&gt;=6,D423&lt;=10),"Proficient",D423&gt;10,"Expert")</f>
        <v>Expert</v>
      </c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 t="str" cm="1">
        <f t="array" ref="M423">_xlfn.IFS(L423="Retirement","Voluntary",L423="Resignation","Voluntary",L423="Layoff","InVoluntary")</f>
        <v>InVoluntary</v>
      </c>
      <c r="N423" s="4" t="s">
        <v>26</v>
      </c>
      <c r="O423" s="41"/>
      <c r="P423">
        <v>1</v>
      </c>
      <c r="Q423" t="s">
        <v>174</v>
      </c>
    </row>
    <row r="424" spans="1:17" x14ac:dyDescent="0.35">
      <c r="A424" s="4">
        <v>3035</v>
      </c>
      <c r="B424" s="5">
        <v>37233</v>
      </c>
      <c r="C424" s="5">
        <v>44012</v>
      </c>
      <c r="D424" s="4">
        <v>19</v>
      </c>
      <c r="E424" s="6" t="str" cm="1">
        <f t="array" ref="E424">_xlfn.IFS(D424&lt;=5,"Newcomer",AND(D424&gt;=6,D424&lt;=10),"Proficient",D424&gt;10,"Expert")</f>
        <v>Expert</v>
      </c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 t="str" cm="1">
        <f t="array" ref="M424">_xlfn.IFS(L424="Retirement","Voluntary",L424="Resignation","Voluntary",L424="Layoff","InVoluntary")</f>
        <v>InVoluntary</v>
      </c>
      <c r="N424" s="4" t="s">
        <v>26</v>
      </c>
      <c r="O424" s="41"/>
      <c r="P424">
        <v>1</v>
      </c>
      <c r="Q424" t="s">
        <v>174</v>
      </c>
    </row>
    <row r="425" spans="1:17" x14ac:dyDescent="0.35">
      <c r="A425" s="4">
        <v>3042</v>
      </c>
      <c r="B425" s="5">
        <v>41630</v>
      </c>
      <c r="C425" s="5">
        <v>44091</v>
      </c>
      <c r="D425" s="4">
        <v>7</v>
      </c>
      <c r="E425" s="6" t="str" cm="1">
        <f t="array" ref="E425">_xlfn.IFS(D425&lt;=5,"Newcomer",AND(D425&gt;=6,D425&lt;=10),"Proficient",D425&gt;10,"Expert")</f>
        <v>Proficient</v>
      </c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 t="str" cm="1">
        <f t="array" ref="M425">_xlfn.IFS(L425="Retirement","Voluntary",L425="Resignation","Voluntary",L425="Layoff","InVoluntary")</f>
        <v>InVoluntary</v>
      </c>
      <c r="N425" s="4" t="s">
        <v>26</v>
      </c>
      <c r="O425" s="41"/>
      <c r="P425">
        <v>1</v>
      </c>
      <c r="Q425" t="s">
        <v>174</v>
      </c>
    </row>
    <row r="426" spans="1:17" x14ac:dyDescent="0.35">
      <c r="A426" s="4">
        <v>3046</v>
      </c>
      <c r="B426" s="5">
        <v>34630</v>
      </c>
      <c r="C426" s="5">
        <v>43862</v>
      </c>
      <c r="D426" s="4">
        <v>26</v>
      </c>
      <c r="E426" s="6" t="str" cm="1">
        <f t="array" ref="E426">_xlfn.IFS(D426&lt;=5,"Newcomer",AND(D426&gt;=6,D426&lt;=10),"Proficient",D426&gt;10,"Expert")</f>
        <v>Expert</v>
      </c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 t="str" cm="1">
        <f t="array" ref="M426">_xlfn.IFS(L426="Retirement","Voluntary",L426="Resignation","Voluntary",L426="Layoff","InVoluntary")</f>
        <v>InVoluntary</v>
      </c>
      <c r="N426" s="4" t="s">
        <v>26</v>
      </c>
      <c r="O426" s="41"/>
      <c r="P426">
        <v>1</v>
      </c>
      <c r="Q426" t="s">
        <v>174</v>
      </c>
    </row>
    <row r="427" spans="1:17" x14ac:dyDescent="0.35">
      <c r="A427" s="4">
        <v>3048</v>
      </c>
      <c r="B427" s="5">
        <v>41897</v>
      </c>
      <c r="C427" s="5">
        <v>43912</v>
      </c>
      <c r="D427" s="4">
        <v>6</v>
      </c>
      <c r="E427" s="6" t="str" cm="1">
        <f t="array" ref="E427">_xlfn.IFS(D427&lt;=5,"Newcomer",AND(D427&gt;=6,D427&lt;=10),"Proficient",D427&gt;10,"Expert")</f>
        <v>Proficient</v>
      </c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 t="str" cm="1">
        <f t="array" ref="M427">_xlfn.IFS(L427="Retirement","Voluntary",L427="Resignation","Voluntary",L427="Layoff","InVoluntary")</f>
        <v>InVoluntary</v>
      </c>
      <c r="N427" s="4" t="s">
        <v>26</v>
      </c>
      <c r="O427" s="41"/>
      <c r="P427">
        <v>1</v>
      </c>
      <c r="Q427" t="s">
        <v>174</v>
      </c>
    </row>
    <row r="428" spans="1:17" x14ac:dyDescent="0.35">
      <c r="A428" s="4">
        <v>3050</v>
      </c>
      <c r="B428" s="5">
        <v>36619</v>
      </c>
      <c r="C428" s="5">
        <v>43905</v>
      </c>
      <c r="D428" s="4">
        <v>20</v>
      </c>
      <c r="E428" s="6" t="str" cm="1">
        <f t="array" ref="E428">_xlfn.IFS(D428&lt;=5,"Newcomer",AND(D428&gt;=6,D428&lt;=10),"Proficient",D428&gt;10,"Expert")</f>
        <v>Expert</v>
      </c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 t="str" cm="1">
        <f t="array" ref="M428">_xlfn.IFS(L428="Retirement","Voluntary",L428="Resignation","Voluntary",L428="Layoff","InVoluntary")</f>
        <v>InVoluntary</v>
      </c>
      <c r="N428" s="4" t="s">
        <v>26</v>
      </c>
      <c r="O428" s="41"/>
      <c r="P428">
        <v>1</v>
      </c>
      <c r="Q428" t="s">
        <v>174</v>
      </c>
    </row>
    <row r="429" spans="1:17" x14ac:dyDescent="0.35">
      <c r="A429" s="4">
        <v>3057</v>
      </c>
      <c r="B429" s="5">
        <v>34651</v>
      </c>
      <c r="C429" s="5">
        <v>44123</v>
      </c>
      <c r="D429" s="4">
        <v>26</v>
      </c>
      <c r="E429" s="6" t="str" cm="1">
        <f t="array" ref="E429">_xlfn.IFS(D429&lt;=5,"Newcomer",AND(D429&gt;=6,D429&lt;=10),"Proficient",D429&gt;10,"Expert")</f>
        <v>Expert</v>
      </c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 t="str" cm="1">
        <f t="array" ref="M429">_xlfn.IFS(L429="Retirement","Voluntary",L429="Resignation","Voluntary",L429="Layoff","InVoluntary")</f>
        <v>InVoluntary</v>
      </c>
      <c r="N429" s="4" t="s">
        <v>26</v>
      </c>
      <c r="O429" s="41"/>
      <c r="P429">
        <v>1</v>
      </c>
      <c r="Q429" t="s">
        <v>174</v>
      </c>
    </row>
    <row r="430" spans="1:17" x14ac:dyDescent="0.35">
      <c r="A430" s="4">
        <v>3067</v>
      </c>
      <c r="B430" s="5">
        <v>35332</v>
      </c>
      <c r="C430" s="5">
        <v>44130</v>
      </c>
      <c r="D430" s="4">
        <v>24</v>
      </c>
      <c r="E430" s="6" t="str" cm="1">
        <f t="array" ref="E430">_xlfn.IFS(D430&lt;=5,"Newcomer",AND(D430&gt;=6,D430&lt;=10),"Proficient",D430&gt;10,"Expert")</f>
        <v>Expert</v>
      </c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 t="str" cm="1">
        <f t="array" ref="M430">_xlfn.IFS(L430="Retirement","Voluntary",L430="Resignation","Voluntary",L430="Layoff","InVoluntary")</f>
        <v>InVoluntary</v>
      </c>
      <c r="N430" s="4" t="s">
        <v>26</v>
      </c>
      <c r="O430" s="41"/>
      <c r="P430">
        <v>1</v>
      </c>
      <c r="Q430" t="s">
        <v>174</v>
      </c>
    </row>
    <row r="431" spans="1:17" x14ac:dyDescent="0.35">
      <c r="A431" s="4">
        <v>3071</v>
      </c>
      <c r="B431" s="5">
        <v>40839</v>
      </c>
      <c r="C431" s="5">
        <v>43961</v>
      </c>
      <c r="D431" s="4">
        <v>9</v>
      </c>
      <c r="E431" s="6" t="str" cm="1">
        <f t="array" ref="E431">_xlfn.IFS(D431&lt;=5,"Newcomer",AND(D431&gt;=6,D431&lt;=10),"Proficient",D431&gt;10,"Expert")</f>
        <v>Proficient</v>
      </c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 t="str" cm="1">
        <f t="array" ref="M431">_xlfn.IFS(L431="Retirement","Voluntary",L431="Resignation","Voluntary",L431="Layoff","InVoluntary")</f>
        <v>InVoluntary</v>
      </c>
      <c r="N431" s="4" t="s">
        <v>26</v>
      </c>
      <c r="O431" s="41"/>
      <c r="P431">
        <v>1</v>
      </c>
      <c r="Q431" t="s">
        <v>174</v>
      </c>
    </row>
    <row r="432" spans="1:17" x14ac:dyDescent="0.35">
      <c r="A432" s="4">
        <v>3075</v>
      </c>
      <c r="B432" s="5">
        <v>39048</v>
      </c>
      <c r="C432" s="5">
        <v>43930</v>
      </c>
      <c r="D432" s="4">
        <v>14</v>
      </c>
      <c r="E432" s="6" t="str" cm="1">
        <f t="array" ref="E432">_xlfn.IFS(D432&lt;=5,"Newcomer",AND(D432&gt;=6,D432&lt;=10),"Proficient",D432&gt;10,"Expert")</f>
        <v>Expert</v>
      </c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 t="str" cm="1">
        <f t="array" ref="M432">_xlfn.IFS(L432="Retirement","Voluntary",L432="Resignation","Voluntary",L432="Layoff","InVoluntary")</f>
        <v>InVoluntary</v>
      </c>
      <c r="N432" s="4" t="s">
        <v>26</v>
      </c>
      <c r="O432" s="41"/>
      <c r="P432">
        <v>1</v>
      </c>
      <c r="Q432" t="s">
        <v>174</v>
      </c>
    </row>
    <row r="433" spans="1:17" x14ac:dyDescent="0.35">
      <c r="A433" s="4">
        <v>3082</v>
      </c>
      <c r="B433" s="5">
        <v>34079</v>
      </c>
      <c r="C433" s="5">
        <v>43895</v>
      </c>
      <c r="D433" s="4">
        <v>27</v>
      </c>
      <c r="E433" s="6" t="str" cm="1">
        <f t="array" ref="E433">_xlfn.IFS(D433&lt;=5,"Newcomer",AND(D433&gt;=6,D433&lt;=10),"Proficient",D433&gt;10,"Expert")</f>
        <v>Expert</v>
      </c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 t="str" cm="1">
        <f t="array" ref="M433">_xlfn.IFS(L433="Retirement","Voluntary",L433="Resignation","Voluntary",L433="Layoff","InVoluntary")</f>
        <v>InVoluntary</v>
      </c>
      <c r="N433" s="4" t="s">
        <v>26</v>
      </c>
      <c r="O433" s="41"/>
      <c r="P433">
        <v>1</v>
      </c>
      <c r="Q433" t="s">
        <v>174</v>
      </c>
    </row>
    <row r="434" spans="1:17" x14ac:dyDescent="0.35">
      <c r="A434" s="4">
        <v>3083</v>
      </c>
      <c r="B434" s="5">
        <v>34764</v>
      </c>
      <c r="C434" s="5">
        <v>43972</v>
      </c>
      <c r="D434" s="4">
        <v>25</v>
      </c>
      <c r="E434" s="6" t="str" cm="1">
        <f t="array" ref="E434">_xlfn.IFS(D434&lt;=5,"Newcomer",AND(D434&gt;=6,D434&lt;=10),"Proficient",D434&gt;10,"Expert")</f>
        <v>Expert</v>
      </c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 t="str" cm="1">
        <f t="array" ref="M434">_xlfn.IFS(L434="Retirement","Voluntary",L434="Resignation","Voluntary",L434="Layoff","InVoluntary")</f>
        <v>InVoluntary</v>
      </c>
      <c r="N434" s="4" t="s">
        <v>26</v>
      </c>
      <c r="O434" s="41"/>
      <c r="P434">
        <v>1</v>
      </c>
      <c r="Q434" t="s">
        <v>174</v>
      </c>
    </row>
    <row r="435" spans="1:17" x14ac:dyDescent="0.35">
      <c r="A435" s="4">
        <v>3093</v>
      </c>
      <c r="B435" s="5">
        <v>41877</v>
      </c>
      <c r="C435" s="5">
        <v>44070</v>
      </c>
      <c r="D435" s="4">
        <v>6</v>
      </c>
      <c r="E435" s="6" t="str" cm="1">
        <f t="array" ref="E435">_xlfn.IFS(D435&lt;=5,"Newcomer",AND(D435&gt;=6,D435&lt;=10),"Proficient",D435&gt;10,"Expert")</f>
        <v>Proficient</v>
      </c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 t="str" cm="1">
        <f t="array" ref="M435">_xlfn.IFS(L435="Retirement","Voluntary",L435="Resignation","Voluntary",L435="Layoff","InVoluntary")</f>
        <v>InVoluntary</v>
      </c>
      <c r="N435" s="4" t="s">
        <v>26</v>
      </c>
      <c r="O435" s="41"/>
      <c r="P435">
        <v>1</v>
      </c>
      <c r="Q435" t="s">
        <v>174</v>
      </c>
    </row>
    <row r="436" spans="1:17" x14ac:dyDescent="0.35">
      <c r="A436" s="4">
        <v>3102</v>
      </c>
      <c r="B436" s="5">
        <v>35089</v>
      </c>
      <c r="C436" s="5">
        <v>44195</v>
      </c>
      <c r="D436" s="4">
        <v>24</v>
      </c>
      <c r="E436" s="6" t="str" cm="1">
        <f t="array" ref="E436">_xlfn.IFS(D436&lt;=5,"Newcomer",AND(D436&gt;=6,D436&lt;=10),"Proficient",D436&gt;10,"Expert")</f>
        <v>Expert</v>
      </c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 t="str" cm="1">
        <f t="array" ref="M436">_xlfn.IFS(L436="Retirement","Voluntary",L436="Resignation","Voluntary",L436="Layoff","InVoluntary")</f>
        <v>InVoluntary</v>
      </c>
      <c r="N436" s="4" t="s">
        <v>26</v>
      </c>
      <c r="O436" s="41"/>
      <c r="P436">
        <v>1</v>
      </c>
      <c r="Q436" t="s">
        <v>174</v>
      </c>
    </row>
    <row r="437" spans="1:17" x14ac:dyDescent="0.35">
      <c r="A437" s="4">
        <v>3115</v>
      </c>
      <c r="B437" s="5">
        <v>38498</v>
      </c>
      <c r="C437" s="5">
        <v>43952</v>
      </c>
      <c r="D437" s="4">
        <v>15</v>
      </c>
      <c r="E437" s="6" t="str" cm="1">
        <f t="array" ref="E437">_xlfn.IFS(D437&lt;=5,"Newcomer",AND(D437&gt;=6,D437&lt;=10),"Proficient",D437&gt;10,"Expert")</f>
        <v>Expert</v>
      </c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 t="str" cm="1">
        <f t="array" ref="M437">_xlfn.IFS(L437="Retirement","Voluntary",L437="Resignation","Voluntary",L437="Layoff","InVoluntary")</f>
        <v>InVoluntary</v>
      </c>
      <c r="N437" s="4" t="s">
        <v>26</v>
      </c>
      <c r="O437" s="41"/>
      <c r="P437">
        <v>1</v>
      </c>
      <c r="Q437" t="s">
        <v>174</v>
      </c>
    </row>
    <row r="438" spans="1:17" x14ac:dyDescent="0.35">
      <c r="A438" s="4">
        <v>3116</v>
      </c>
      <c r="B438" s="5">
        <v>38648</v>
      </c>
      <c r="C438" s="5">
        <v>44037</v>
      </c>
      <c r="D438" s="4">
        <v>15</v>
      </c>
      <c r="E438" s="6" t="str" cm="1">
        <f t="array" ref="E438">_xlfn.IFS(D438&lt;=5,"Newcomer",AND(D438&gt;=6,D438&lt;=10),"Proficient",D438&gt;10,"Expert")</f>
        <v>Expert</v>
      </c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 t="str" cm="1">
        <f t="array" ref="M438">_xlfn.IFS(L438="Retirement","Voluntary",L438="Resignation","Voluntary",L438="Layoff","InVoluntary")</f>
        <v>Voluntary</v>
      </c>
      <c r="N438" s="4" t="s">
        <v>26</v>
      </c>
      <c r="O438" s="41"/>
      <c r="P438">
        <v>1</v>
      </c>
      <c r="Q438" t="s">
        <v>173</v>
      </c>
    </row>
    <row r="439" spans="1:17" x14ac:dyDescent="0.35">
      <c r="A439" s="4">
        <v>3125</v>
      </c>
      <c r="B439" s="5">
        <v>41704</v>
      </c>
      <c r="C439" s="5">
        <v>43847</v>
      </c>
      <c r="D439" s="4">
        <v>6</v>
      </c>
      <c r="E439" s="6" t="str" cm="1">
        <f t="array" ref="E439">_xlfn.IFS(D439&lt;=5,"Newcomer",AND(D439&gt;=6,D439&lt;=10),"Proficient",D439&gt;10,"Expert")</f>
        <v>Proficient</v>
      </c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 t="str" cm="1">
        <f t="array" ref="M439">_xlfn.IFS(L439="Retirement","Voluntary",L439="Resignation","Voluntary",L439="Layoff","InVoluntary")</f>
        <v>Voluntary</v>
      </c>
      <c r="N439" s="4" t="s">
        <v>26</v>
      </c>
      <c r="O439" s="41"/>
      <c r="P439">
        <v>1</v>
      </c>
      <c r="Q439" t="s">
        <v>173</v>
      </c>
    </row>
    <row r="440" spans="1:17" x14ac:dyDescent="0.35">
      <c r="A440" s="4">
        <v>3127</v>
      </c>
      <c r="B440" s="5">
        <v>35932</v>
      </c>
      <c r="C440" s="5">
        <v>44128</v>
      </c>
      <c r="D440" s="4">
        <v>22</v>
      </c>
      <c r="E440" s="6" t="str" cm="1">
        <f t="array" ref="E440">_xlfn.IFS(D440&lt;=5,"Newcomer",AND(D440&gt;=6,D440&lt;=10),"Proficient",D440&gt;10,"Expert")</f>
        <v>Expert</v>
      </c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 t="str" cm="1">
        <f t="array" ref="M440">_xlfn.IFS(L440="Retirement","Voluntary",L440="Resignation","Voluntary",L440="Layoff","InVoluntary")</f>
        <v>Voluntary</v>
      </c>
      <c r="N440" s="4" t="s">
        <v>26</v>
      </c>
      <c r="O440" s="41"/>
      <c r="P440">
        <v>1</v>
      </c>
      <c r="Q440" t="s">
        <v>173</v>
      </c>
    </row>
    <row r="441" spans="1:17" x14ac:dyDescent="0.35">
      <c r="A441" s="4">
        <v>3129</v>
      </c>
      <c r="B441" s="5">
        <v>35326</v>
      </c>
      <c r="C441" s="5">
        <v>44023</v>
      </c>
      <c r="D441" s="4">
        <v>24</v>
      </c>
      <c r="E441" s="6" t="str" cm="1">
        <f t="array" ref="E441">_xlfn.IFS(D441&lt;=5,"Newcomer",AND(D441&gt;=6,D441&lt;=10),"Proficient",D441&gt;10,"Expert")</f>
        <v>Expert</v>
      </c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 t="str" cm="1">
        <f t="array" ref="M441">_xlfn.IFS(L441="Retirement","Voluntary",L441="Resignation","Voluntary",L441="Layoff","InVoluntary")</f>
        <v>Voluntary</v>
      </c>
      <c r="N441" s="4" t="s">
        <v>26</v>
      </c>
      <c r="O441" s="41"/>
      <c r="P441">
        <v>1</v>
      </c>
      <c r="Q441" t="s">
        <v>173</v>
      </c>
    </row>
    <row r="442" spans="1:17" x14ac:dyDescent="0.35">
      <c r="A442" s="4">
        <v>3142</v>
      </c>
      <c r="B442" s="5">
        <v>35758</v>
      </c>
      <c r="C442" s="5">
        <v>44089</v>
      </c>
      <c r="D442" s="4">
        <v>23</v>
      </c>
      <c r="E442" s="6" t="str" cm="1">
        <f t="array" ref="E442">_xlfn.IFS(D442&lt;=5,"Newcomer",AND(D442&gt;=6,D442&lt;=10),"Proficient",D442&gt;10,"Expert")</f>
        <v>Expert</v>
      </c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 t="str" cm="1">
        <f t="array" ref="M442">_xlfn.IFS(L442="Retirement","Voluntary",L442="Resignation","Voluntary",L442="Layoff","InVoluntary")</f>
        <v>Voluntary</v>
      </c>
      <c r="N442" s="4" t="s">
        <v>26</v>
      </c>
      <c r="O442" s="41"/>
      <c r="P442">
        <v>1</v>
      </c>
      <c r="Q442" t="s">
        <v>173</v>
      </c>
    </row>
    <row r="443" spans="1:17" x14ac:dyDescent="0.35">
      <c r="A443" s="4">
        <v>3144</v>
      </c>
      <c r="B443" s="5">
        <v>35085</v>
      </c>
      <c r="C443" s="5">
        <v>43949</v>
      </c>
      <c r="D443" s="4">
        <v>24</v>
      </c>
      <c r="E443" s="6" t="str" cm="1">
        <f t="array" ref="E443">_xlfn.IFS(D443&lt;=5,"Newcomer",AND(D443&gt;=6,D443&lt;=10),"Proficient",D443&gt;10,"Expert")</f>
        <v>Expert</v>
      </c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 t="str" cm="1">
        <f t="array" ref="M443">_xlfn.IFS(L443="Retirement","Voluntary",L443="Resignation","Voluntary",L443="Layoff","InVoluntary")</f>
        <v>Voluntary</v>
      </c>
      <c r="N443" s="4" t="s">
        <v>26</v>
      </c>
      <c r="O443" s="41"/>
      <c r="P443">
        <v>1</v>
      </c>
      <c r="Q443" t="s">
        <v>173</v>
      </c>
    </row>
    <row r="444" spans="1:17" x14ac:dyDescent="0.35">
      <c r="A444" s="4">
        <v>3149</v>
      </c>
      <c r="B444" s="5">
        <v>40829</v>
      </c>
      <c r="C444" s="5">
        <v>44071</v>
      </c>
      <c r="D444" s="4">
        <v>9</v>
      </c>
      <c r="E444" s="6" t="str" cm="1">
        <f t="array" ref="E444">_xlfn.IFS(D444&lt;=5,"Newcomer",AND(D444&gt;=6,D444&lt;=10),"Proficient",D444&gt;10,"Expert")</f>
        <v>Proficient</v>
      </c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 t="str" cm="1">
        <f t="array" ref="M444">_xlfn.IFS(L444="Retirement","Voluntary",L444="Resignation","Voluntary",L444="Layoff","InVoluntary")</f>
        <v>Voluntary</v>
      </c>
      <c r="N444" s="4" t="s">
        <v>26</v>
      </c>
      <c r="O444" s="41"/>
      <c r="P444">
        <v>1</v>
      </c>
      <c r="Q444" t="s">
        <v>173</v>
      </c>
    </row>
    <row r="445" spans="1:17" x14ac:dyDescent="0.35">
      <c r="A445" s="4">
        <v>3152</v>
      </c>
      <c r="B445" s="5">
        <v>33496</v>
      </c>
      <c r="C445" s="5">
        <v>43833</v>
      </c>
      <c r="D445" s="4">
        <v>29</v>
      </c>
      <c r="E445" s="6" t="str" cm="1">
        <f t="array" ref="E445">_xlfn.IFS(D445&lt;=5,"Newcomer",AND(D445&gt;=6,D445&lt;=10),"Proficient",D445&gt;10,"Expert")</f>
        <v>Expert</v>
      </c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 t="str" cm="1">
        <f t="array" ref="M445">_xlfn.IFS(L445="Retirement","Voluntary",L445="Resignation","Voluntary",L445="Layoff","InVoluntary")</f>
        <v>Voluntary</v>
      </c>
      <c r="N445" s="4" t="s">
        <v>26</v>
      </c>
      <c r="O445" s="41"/>
      <c r="P445">
        <v>1</v>
      </c>
      <c r="Q445" t="s">
        <v>173</v>
      </c>
    </row>
    <row r="446" spans="1:17" x14ac:dyDescent="0.35">
      <c r="A446" s="4">
        <v>3156</v>
      </c>
      <c r="B446" s="5">
        <v>36364</v>
      </c>
      <c r="C446" s="5">
        <v>43997</v>
      </c>
      <c r="D446" s="4">
        <v>21</v>
      </c>
      <c r="E446" s="6" t="str" cm="1">
        <f t="array" ref="E446">_xlfn.IFS(D446&lt;=5,"Newcomer",AND(D446&gt;=6,D446&lt;=10),"Proficient",D446&gt;10,"Expert")</f>
        <v>Expert</v>
      </c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 t="str" cm="1">
        <f t="array" ref="M446">_xlfn.IFS(L446="Retirement","Voluntary",L446="Resignation","Voluntary",L446="Layoff","InVoluntary")</f>
        <v>Voluntary</v>
      </c>
      <c r="N446" s="4" t="s">
        <v>26</v>
      </c>
      <c r="O446" s="41"/>
      <c r="P446">
        <v>1</v>
      </c>
      <c r="Q446" t="s">
        <v>173</v>
      </c>
    </row>
    <row r="447" spans="1:17" x14ac:dyDescent="0.35">
      <c r="A447" s="4">
        <v>3157</v>
      </c>
      <c r="B447" s="5">
        <v>41538</v>
      </c>
      <c r="C447" s="5">
        <v>44089</v>
      </c>
      <c r="D447" s="4">
        <v>7</v>
      </c>
      <c r="E447" s="6" t="str" cm="1">
        <f t="array" ref="E447">_xlfn.IFS(D447&lt;=5,"Newcomer",AND(D447&gt;=6,D447&lt;=10),"Proficient",D447&gt;10,"Expert")</f>
        <v>Proficient</v>
      </c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 t="str" cm="1">
        <f t="array" ref="M447">_xlfn.IFS(L447="Retirement","Voluntary",L447="Resignation","Voluntary",L447="Layoff","InVoluntary")</f>
        <v>Voluntary</v>
      </c>
      <c r="N447" s="4" t="s">
        <v>26</v>
      </c>
      <c r="O447" s="41"/>
      <c r="P447">
        <v>1</v>
      </c>
      <c r="Q447" t="s">
        <v>173</v>
      </c>
    </row>
    <row r="448" spans="1:17" x14ac:dyDescent="0.35">
      <c r="A448" s="4">
        <v>3159</v>
      </c>
      <c r="B448" s="5">
        <v>34242</v>
      </c>
      <c r="C448" s="5">
        <v>44060</v>
      </c>
      <c r="D448" s="4">
        <v>27</v>
      </c>
      <c r="E448" s="6" t="str" cm="1">
        <f t="array" ref="E448">_xlfn.IFS(D448&lt;=5,"Newcomer",AND(D448&gt;=6,D448&lt;=10),"Proficient",D448&gt;10,"Expert")</f>
        <v>Expert</v>
      </c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 t="str" cm="1">
        <f t="array" ref="M448">_xlfn.IFS(L448="Retirement","Voluntary",L448="Resignation","Voluntary",L448="Layoff","InVoluntary")</f>
        <v>Voluntary</v>
      </c>
      <c r="N448" s="4" t="s">
        <v>26</v>
      </c>
      <c r="O448" s="41"/>
      <c r="P448">
        <v>1</v>
      </c>
      <c r="Q448" t="s">
        <v>173</v>
      </c>
    </row>
    <row r="449" spans="1:17" x14ac:dyDescent="0.35">
      <c r="A449" s="4">
        <v>3160</v>
      </c>
      <c r="B449" s="5">
        <v>39514</v>
      </c>
      <c r="C449" s="5">
        <v>44026</v>
      </c>
      <c r="D449" s="4">
        <v>12</v>
      </c>
      <c r="E449" s="6" t="str" cm="1">
        <f t="array" ref="E449">_xlfn.IFS(D449&lt;=5,"Newcomer",AND(D449&gt;=6,D449&lt;=10),"Proficient",D449&gt;10,"Expert")</f>
        <v>Expert</v>
      </c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 t="str" cm="1">
        <f t="array" ref="M449">_xlfn.IFS(L449="Retirement","Voluntary",L449="Resignation","Voluntary",L449="Layoff","InVoluntary")</f>
        <v>Voluntary</v>
      </c>
      <c r="N449" s="4" t="s">
        <v>26</v>
      </c>
      <c r="O449" s="41"/>
      <c r="P449">
        <v>1</v>
      </c>
      <c r="Q449" t="s">
        <v>173</v>
      </c>
    </row>
    <row r="450" spans="1:17" x14ac:dyDescent="0.35">
      <c r="A450" s="4">
        <v>3169</v>
      </c>
      <c r="B450" s="5">
        <v>33565</v>
      </c>
      <c r="C450" s="5">
        <v>43992</v>
      </c>
      <c r="D450" s="4">
        <v>29</v>
      </c>
      <c r="E450" s="6" t="str" cm="1">
        <f t="array" ref="E450">_xlfn.IFS(D450&lt;=5,"Newcomer",AND(D450&gt;=6,D450&lt;=10),"Proficient",D450&gt;10,"Expert")</f>
        <v>Expert</v>
      </c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 t="str" cm="1">
        <f t="array" ref="M450">_xlfn.IFS(L450="Retirement","Voluntary",L450="Resignation","Voluntary",L450="Layoff","InVoluntary")</f>
        <v>InVoluntary</v>
      </c>
      <c r="N450" s="4" t="s">
        <v>26</v>
      </c>
      <c r="O450" s="41"/>
      <c r="P450">
        <v>1</v>
      </c>
      <c r="Q450" t="s">
        <v>174</v>
      </c>
    </row>
    <row r="451" spans="1:17" x14ac:dyDescent="0.35">
      <c r="A451" s="4">
        <v>3174</v>
      </c>
      <c r="B451" s="5">
        <v>39825</v>
      </c>
      <c r="C451" s="5">
        <v>43935</v>
      </c>
      <c r="D451" s="4">
        <v>11</v>
      </c>
      <c r="E451" s="6" t="str" cm="1">
        <f t="array" ref="E451">_xlfn.IFS(D451&lt;=5,"Newcomer",AND(D451&gt;=6,D451&lt;=10),"Proficient",D451&gt;10,"Expert")</f>
        <v>Expert</v>
      </c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 t="str" cm="1">
        <f t="array" ref="M451">_xlfn.IFS(L451="Retirement","Voluntary",L451="Resignation","Voluntary",L451="Layoff","InVoluntary")</f>
        <v>Voluntary</v>
      </c>
      <c r="N451" s="4" t="s">
        <v>26</v>
      </c>
      <c r="O451" s="41"/>
      <c r="P451">
        <v>1</v>
      </c>
      <c r="Q451" t="s">
        <v>173</v>
      </c>
    </row>
    <row r="452" spans="1:17" x14ac:dyDescent="0.35">
      <c r="A452" s="4">
        <v>3175</v>
      </c>
      <c r="B452" s="5">
        <v>33486</v>
      </c>
      <c r="C452" s="5">
        <v>44128</v>
      </c>
      <c r="D452" s="4">
        <v>29</v>
      </c>
      <c r="E452" s="6" t="str" cm="1">
        <f t="array" ref="E452">_xlfn.IFS(D452&lt;=5,"Newcomer",AND(D452&gt;=6,D452&lt;=10),"Proficient",D452&gt;10,"Expert")</f>
        <v>Expert</v>
      </c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 t="str" cm="1">
        <f t="array" ref="M452">_xlfn.IFS(L452="Retirement","Voluntary",L452="Resignation","Voluntary",L452="Layoff","InVoluntary")</f>
        <v>Voluntary</v>
      </c>
      <c r="N452" s="4" t="s">
        <v>26</v>
      </c>
      <c r="O452" s="41"/>
      <c r="P452">
        <v>1</v>
      </c>
      <c r="Q452" t="s">
        <v>173</v>
      </c>
    </row>
    <row r="453" spans="1:17" x14ac:dyDescent="0.35">
      <c r="A453" s="4">
        <v>3183</v>
      </c>
      <c r="B453" s="5">
        <v>41117</v>
      </c>
      <c r="C453" s="5">
        <v>44024</v>
      </c>
      <c r="D453" s="4">
        <v>8</v>
      </c>
      <c r="E453" s="6" t="str" cm="1">
        <f t="array" ref="E453">_xlfn.IFS(D453&lt;=5,"Newcomer",AND(D453&gt;=6,D453&lt;=10),"Proficient",D453&gt;10,"Expert")</f>
        <v>Proficient</v>
      </c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 t="str" cm="1">
        <f t="array" ref="M453">_xlfn.IFS(L453="Retirement","Voluntary",L453="Resignation","Voluntary",L453="Layoff","InVoluntary")</f>
        <v>Voluntary</v>
      </c>
      <c r="N453" s="4" t="s">
        <v>26</v>
      </c>
      <c r="O453" s="41"/>
      <c r="P453">
        <v>1</v>
      </c>
      <c r="Q453" t="s">
        <v>173</v>
      </c>
    </row>
    <row r="454" spans="1:17" x14ac:dyDescent="0.35">
      <c r="A454" s="4">
        <v>3184</v>
      </c>
      <c r="B454" s="5">
        <v>37836</v>
      </c>
      <c r="C454" s="5">
        <v>43866</v>
      </c>
      <c r="D454" s="4">
        <v>17</v>
      </c>
      <c r="E454" s="6" t="str" cm="1">
        <f t="array" ref="E454">_xlfn.IFS(D454&lt;=5,"Newcomer",AND(D454&gt;=6,D454&lt;=10),"Proficient",D454&gt;10,"Expert")</f>
        <v>Expert</v>
      </c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 t="str" cm="1">
        <f t="array" ref="M454">_xlfn.IFS(L454="Retirement","Voluntary",L454="Resignation","Voluntary",L454="Layoff","InVoluntary")</f>
        <v>Voluntary</v>
      </c>
      <c r="N454" s="4" t="s">
        <v>26</v>
      </c>
      <c r="O454" s="41"/>
      <c r="P454">
        <v>1</v>
      </c>
      <c r="Q454" t="s">
        <v>173</v>
      </c>
    </row>
    <row r="455" spans="1:17" x14ac:dyDescent="0.35">
      <c r="A455" s="4">
        <v>3188</v>
      </c>
      <c r="B455" s="5">
        <v>35541</v>
      </c>
      <c r="C455" s="5">
        <v>43921</v>
      </c>
      <c r="D455" s="4">
        <v>23</v>
      </c>
      <c r="E455" s="6" t="str" cm="1">
        <f t="array" ref="E455">_xlfn.IFS(D455&lt;=5,"Newcomer",AND(D455&gt;=6,D455&lt;=10),"Proficient",D455&gt;10,"Expert")</f>
        <v>Expert</v>
      </c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 t="str" cm="1">
        <f t="array" ref="M455">_xlfn.IFS(L455="Retirement","Voluntary",L455="Resignation","Voluntary",L455="Layoff","InVoluntary")</f>
        <v>Voluntary</v>
      </c>
      <c r="N455" s="4" t="s">
        <v>26</v>
      </c>
      <c r="O455" s="41"/>
      <c r="P455">
        <v>1</v>
      </c>
      <c r="Q455" t="s">
        <v>173</v>
      </c>
    </row>
    <row r="456" spans="1:17" x14ac:dyDescent="0.35">
      <c r="A456" s="4">
        <v>3197</v>
      </c>
      <c r="B456" s="5">
        <v>37086</v>
      </c>
      <c r="C456" s="5">
        <v>43978</v>
      </c>
      <c r="D456" s="4">
        <v>19</v>
      </c>
      <c r="E456" s="6" t="str" cm="1">
        <f t="array" ref="E456">_xlfn.IFS(D456&lt;=5,"Newcomer",AND(D456&gt;=6,D456&lt;=10),"Proficient",D456&gt;10,"Expert")</f>
        <v>Expert</v>
      </c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 t="str" cm="1">
        <f t="array" ref="M456">_xlfn.IFS(L456="Retirement","Voluntary",L456="Resignation","Voluntary",L456="Layoff","InVoluntary")</f>
        <v>Voluntary</v>
      </c>
      <c r="N456" s="4" t="s">
        <v>26</v>
      </c>
      <c r="O456" s="41"/>
      <c r="P456">
        <v>1</v>
      </c>
      <c r="Q456" t="s">
        <v>173</v>
      </c>
    </row>
    <row r="457" spans="1:17" x14ac:dyDescent="0.35">
      <c r="A457" s="4">
        <v>3201</v>
      </c>
      <c r="B457" s="5">
        <v>37238</v>
      </c>
      <c r="C457" s="5">
        <v>44031</v>
      </c>
      <c r="D457" s="4">
        <v>19</v>
      </c>
      <c r="E457" s="6" t="str" cm="1">
        <f t="array" ref="E457">_xlfn.IFS(D457&lt;=5,"Newcomer",AND(D457&gt;=6,D457&lt;=10),"Proficient",D457&gt;10,"Expert")</f>
        <v>Expert</v>
      </c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 t="str" cm="1">
        <f t="array" ref="M457">_xlfn.IFS(L457="Retirement","Voluntary",L457="Resignation","Voluntary",L457="Layoff","InVoluntary")</f>
        <v>Voluntary</v>
      </c>
      <c r="N457" s="4" t="s">
        <v>26</v>
      </c>
      <c r="O457" s="41"/>
      <c r="P457">
        <v>1</v>
      </c>
      <c r="Q457" t="s">
        <v>173</v>
      </c>
    </row>
    <row r="458" spans="1:17" x14ac:dyDescent="0.35">
      <c r="A458" s="4">
        <v>3202</v>
      </c>
      <c r="B458" s="5">
        <v>35996</v>
      </c>
      <c r="C458" s="5">
        <v>44188</v>
      </c>
      <c r="D458" s="4">
        <v>22</v>
      </c>
      <c r="E458" s="6" t="str" cm="1">
        <f t="array" ref="E458">_xlfn.IFS(D458&lt;=5,"Newcomer",AND(D458&gt;=6,D458&lt;=10),"Proficient",D458&gt;10,"Expert")</f>
        <v>Expert</v>
      </c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 t="str" cm="1">
        <f t="array" ref="M458">_xlfn.IFS(L458="Retirement","Voluntary",L458="Resignation","Voluntary",L458="Layoff","InVoluntary")</f>
        <v>Voluntary</v>
      </c>
      <c r="N458" s="4" t="s">
        <v>26</v>
      </c>
      <c r="O458" s="41"/>
      <c r="P458">
        <v>1</v>
      </c>
      <c r="Q458" t="s">
        <v>173</v>
      </c>
    </row>
    <row r="459" spans="1:17" x14ac:dyDescent="0.35">
      <c r="A459" s="4">
        <v>3209</v>
      </c>
      <c r="B459" s="5">
        <v>38421</v>
      </c>
      <c r="C459" s="5">
        <v>44181</v>
      </c>
      <c r="D459" s="4">
        <v>15</v>
      </c>
      <c r="E459" s="6" t="str" cm="1">
        <f t="array" ref="E459">_xlfn.IFS(D459&lt;=5,"Newcomer",AND(D459&gt;=6,D459&lt;=10),"Proficient",D459&gt;10,"Expert")</f>
        <v>Expert</v>
      </c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 t="str" cm="1">
        <f t="array" ref="M459">_xlfn.IFS(L459="Retirement","Voluntary",L459="Resignation","Voluntary",L459="Layoff","InVoluntary")</f>
        <v>Voluntary</v>
      </c>
      <c r="N459" s="4" t="s">
        <v>26</v>
      </c>
      <c r="O459" s="41"/>
      <c r="P459">
        <v>1</v>
      </c>
      <c r="Q459" t="s">
        <v>173</v>
      </c>
    </row>
    <row r="460" spans="1:17" x14ac:dyDescent="0.35">
      <c r="A460" s="4">
        <v>3216</v>
      </c>
      <c r="B460" s="5">
        <v>33203</v>
      </c>
      <c r="C460" s="5">
        <v>43997</v>
      </c>
      <c r="D460" s="4">
        <v>30</v>
      </c>
      <c r="E460" s="6" t="str" cm="1">
        <f t="array" ref="E460">_xlfn.IFS(D460&lt;=5,"Newcomer",AND(D460&gt;=6,D460&lt;=10),"Proficient",D460&gt;10,"Expert")</f>
        <v>Expert</v>
      </c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 t="str" cm="1">
        <f t="array" ref="M460">_xlfn.IFS(L460="Retirement","Voluntary",L460="Resignation","Voluntary",L460="Layoff","InVoluntary")</f>
        <v>Voluntary</v>
      </c>
      <c r="N460" s="4" t="s">
        <v>26</v>
      </c>
      <c r="O460" s="41"/>
      <c r="P460">
        <v>1</v>
      </c>
      <c r="Q460" t="s">
        <v>173</v>
      </c>
    </row>
    <row r="461" spans="1:17" x14ac:dyDescent="0.35">
      <c r="A461" s="4">
        <v>3220</v>
      </c>
      <c r="B461" s="5">
        <v>38997</v>
      </c>
      <c r="C461" s="5">
        <v>44031</v>
      </c>
      <c r="D461" s="4">
        <v>14</v>
      </c>
      <c r="E461" s="6" t="str" cm="1">
        <f t="array" ref="E461">_xlfn.IFS(D461&lt;=5,"Newcomer",AND(D461&gt;=6,D461&lt;=10),"Proficient",D461&gt;10,"Expert")</f>
        <v>Expert</v>
      </c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 t="str" cm="1">
        <f t="array" ref="M461">_xlfn.IFS(L461="Retirement","Voluntary",L461="Resignation","Voluntary",L461="Layoff","InVoluntary")</f>
        <v>Voluntary</v>
      </c>
      <c r="N461" s="4" t="s">
        <v>26</v>
      </c>
      <c r="O461" s="41"/>
      <c r="P461">
        <v>1</v>
      </c>
      <c r="Q461" t="s">
        <v>173</v>
      </c>
    </row>
    <row r="462" spans="1:17" x14ac:dyDescent="0.35">
      <c r="A462" s="4">
        <v>3226</v>
      </c>
      <c r="B462" s="5">
        <v>41938</v>
      </c>
      <c r="C462" s="5">
        <v>43972</v>
      </c>
      <c r="D462" s="4">
        <v>6</v>
      </c>
      <c r="E462" s="6" t="str" cm="1">
        <f t="array" ref="E462">_xlfn.IFS(D462&lt;=5,"Newcomer",AND(D462&gt;=6,D462&lt;=10),"Proficient",D462&gt;10,"Expert")</f>
        <v>Proficient</v>
      </c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 t="str" cm="1">
        <f t="array" ref="M462">_xlfn.IFS(L462="Retirement","Voluntary",L462="Resignation","Voluntary",L462="Layoff","InVoluntary")</f>
        <v>Voluntary</v>
      </c>
      <c r="N462" s="4" t="s">
        <v>26</v>
      </c>
      <c r="O462" s="41"/>
      <c r="P462">
        <v>1</v>
      </c>
      <c r="Q462" t="s">
        <v>173</v>
      </c>
    </row>
    <row r="463" spans="1:17" x14ac:dyDescent="0.35">
      <c r="A463" s="4">
        <v>3233</v>
      </c>
      <c r="B463" s="5">
        <v>36863</v>
      </c>
      <c r="C463" s="5">
        <v>43937</v>
      </c>
      <c r="D463" s="4">
        <v>20</v>
      </c>
      <c r="E463" s="6" t="str" cm="1">
        <f t="array" ref="E463">_xlfn.IFS(D463&lt;=5,"Newcomer",AND(D463&gt;=6,D463&lt;=10),"Proficient",D463&gt;10,"Expert")</f>
        <v>Expert</v>
      </c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 t="str" cm="1">
        <f t="array" ref="M463">_xlfn.IFS(L463="Retirement","Voluntary",L463="Resignation","Voluntary",L463="Layoff","InVoluntary")</f>
        <v>Voluntary</v>
      </c>
      <c r="N463" s="4" t="s">
        <v>26</v>
      </c>
      <c r="O463" s="41"/>
      <c r="P463">
        <v>1</v>
      </c>
      <c r="Q463" t="s">
        <v>173</v>
      </c>
    </row>
    <row r="464" spans="1:17" x14ac:dyDescent="0.35">
      <c r="A464" s="4">
        <v>3234</v>
      </c>
      <c r="B464" s="5">
        <v>34953</v>
      </c>
      <c r="C464" s="5">
        <v>44169</v>
      </c>
      <c r="D464" s="4">
        <v>25</v>
      </c>
      <c r="E464" s="6" t="str" cm="1">
        <f t="array" ref="E464">_xlfn.IFS(D464&lt;=5,"Newcomer",AND(D464&gt;=6,D464&lt;=10),"Proficient",D464&gt;10,"Expert")</f>
        <v>Expert</v>
      </c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 t="str" cm="1">
        <f t="array" ref="M464">_xlfn.IFS(L464="Retirement","Voluntary",L464="Resignation","Voluntary",L464="Layoff","InVoluntary")</f>
        <v>Voluntary</v>
      </c>
      <c r="N464" s="4" t="s">
        <v>26</v>
      </c>
      <c r="O464" s="41"/>
      <c r="P464">
        <v>1</v>
      </c>
      <c r="Q464" t="s">
        <v>173</v>
      </c>
    </row>
    <row r="465" spans="1:17" x14ac:dyDescent="0.35">
      <c r="A465" s="4">
        <v>3235</v>
      </c>
      <c r="B465" s="5">
        <v>40320</v>
      </c>
      <c r="C465" s="5">
        <v>44122</v>
      </c>
      <c r="D465" s="4">
        <v>10</v>
      </c>
      <c r="E465" s="6" t="str" cm="1">
        <f t="array" ref="E465">_xlfn.IFS(D465&lt;=5,"Newcomer",AND(D465&gt;=6,D465&lt;=10),"Proficient",D465&gt;10,"Expert")</f>
        <v>Proficient</v>
      </c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 t="str" cm="1">
        <f t="array" ref="M465">_xlfn.IFS(L465="Retirement","Voluntary",L465="Resignation","Voluntary",L465="Layoff","InVoluntary")</f>
        <v>Voluntary</v>
      </c>
      <c r="N465" s="4" t="s">
        <v>26</v>
      </c>
      <c r="O465" s="41"/>
      <c r="P465">
        <v>1</v>
      </c>
      <c r="Q465" t="s">
        <v>173</v>
      </c>
    </row>
    <row r="466" spans="1:17" x14ac:dyDescent="0.35">
      <c r="A466" s="4">
        <v>3236</v>
      </c>
      <c r="B466" s="5">
        <v>39629</v>
      </c>
      <c r="C466" s="5">
        <v>43960</v>
      </c>
      <c r="D466" s="4">
        <v>12</v>
      </c>
      <c r="E466" s="6" t="str" cm="1">
        <f t="array" ref="E466">_xlfn.IFS(D466&lt;=5,"Newcomer",AND(D466&gt;=6,D466&lt;=10),"Proficient",D466&gt;10,"Expert")</f>
        <v>Expert</v>
      </c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 t="str" cm="1">
        <f t="array" ref="M466">_xlfn.IFS(L466="Retirement","Voluntary",L466="Resignation","Voluntary",L466="Layoff","InVoluntary")</f>
        <v>Voluntary</v>
      </c>
      <c r="N466" s="4" t="s">
        <v>26</v>
      </c>
      <c r="O466" s="41"/>
      <c r="P466">
        <v>1</v>
      </c>
      <c r="Q466" t="s">
        <v>173</v>
      </c>
    </row>
    <row r="467" spans="1:17" x14ac:dyDescent="0.35">
      <c r="A467" s="4">
        <v>3241</v>
      </c>
      <c r="B467" s="5">
        <v>33240</v>
      </c>
      <c r="C467" s="5">
        <v>44042</v>
      </c>
      <c r="D467" s="4">
        <v>29</v>
      </c>
      <c r="E467" s="6" t="str" cm="1">
        <f t="array" ref="E467">_xlfn.IFS(D467&lt;=5,"Newcomer",AND(D467&gt;=6,D467&lt;=10),"Proficient",D467&gt;10,"Expert")</f>
        <v>Expert</v>
      </c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 t="str" cm="1">
        <f t="array" ref="M467">_xlfn.IFS(L467="Retirement","Voluntary",L467="Resignation","Voluntary",L467="Layoff","InVoluntary")</f>
        <v>InVoluntary</v>
      </c>
      <c r="N467" s="4" t="s">
        <v>26</v>
      </c>
      <c r="O467" s="41"/>
      <c r="P467">
        <v>1</v>
      </c>
      <c r="Q467" t="s">
        <v>174</v>
      </c>
    </row>
    <row r="468" spans="1:17" x14ac:dyDescent="0.35">
      <c r="A468" s="4">
        <v>3248</v>
      </c>
      <c r="B468" s="5">
        <v>41642</v>
      </c>
      <c r="C468" s="5">
        <v>43973</v>
      </c>
      <c r="D468" s="4">
        <v>6</v>
      </c>
      <c r="E468" s="6" t="str" cm="1">
        <f t="array" ref="E468">_xlfn.IFS(D468&lt;=5,"Newcomer",AND(D468&gt;=6,D468&lt;=10),"Proficient",D468&gt;10,"Expert")</f>
        <v>Proficient</v>
      </c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 t="str" cm="1">
        <f t="array" ref="M468">_xlfn.IFS(L468="Retirement","Voluntary",L468="Resignation","Voluntary",L468="Layoff","InVoluntary")</f>
        <v>Voluntary</v>
      </c>
      <c r="N468" s="4" t="s">
        <v>26</v>
      </c>
      <c r="O468" s="41"/>
      <c r="P468">
        <v>1</v>
      </c>
      <c r="Q468" t="s">
        <v>173</v>
      </c>
    </row>
    <row r="469" spans="1:17" x14ac:dyDescent="0.35">
      <c r="A469" s="4">
        <v>3262</v>
      </c>
      <c r="B469" s="5">
        <v>33991</v>
      </c>
      <c r="C469" s="5">
        <v>43913</v>
      </c>
      <c r="D469" s="4">
        <v>27</v>
      </c>
      <c r="E469" s="6" t="str" cm="1">
        <f t="array" ref="E469">_xlfn.IFS(D469&lt;=5,"Newcomer",AND(D469&gt;=6,D469&lt;=10),"Proficient",D469&gt;10,"Expert")</f>
        <v>Expert</v>
      </c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 t="str" cm="1">
        <f t="array" ref="M469">_xlfn.IFS(L469="Retirement","Voluntary",L469="Resignation","Voluntary",L469="Layoff","InVoluntary")</f>
        <v>Voluntary</v>
      </c>
      <c r="N469" s="4" t="s">
        <v>26</v>
      </c>
      <c r="O469" s="41"/>
      <c r="P469">
        <v>1</v>
      </c>
      <c r="Q469" t="s">
        <v>173</v>
      </c>
    </row>
    <row r="470" spans="1:17" x14ac:dyDescent="0.35">
      <c r="A470" s="4">
        <v>3268</v>
      </c>
      <c r="B470" s="5">
        <v>37240</v>
      </c>
      <c r="C470" s="5">
        <v>43955</v>
      </c>
      <c r="D470" s="4">
        <v>19</v>
      </c>
      <c r="E470" s="6" t="str" cm="1">
        <f t="array" ref="E470">_xlfn.IFS(D470&lt;=5,"Newcomer",AND(D470&gt;=6,D470&lt;=10),"Proficient",D470&gt;10,"Expert")</f>
        <v>Expert</v>
      </c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 t="str" cm="1">
        <f t="array" ref="M470">_xlfn.IFS(L470="Retirement","Voluntary",L470="Resignation","Voluntary",L470="Layoff","InVoluntary")</f>
        <v>Voluntary</v>
      </c>
      <c r="N470" s="4" t="s">
        <v>26</v>
      </c>
      <c r="O470" s="41"/>
      <c r="P470">
        <v>1</v>
      </c>
      <c r="Q470" t="s">
        <v>173</v>
      </c>
    </row>
    <row r="471" spans="1:17" x14ac:dyDescent="0.35">
      <c r="A471" s="4">
        <v>3270</v>
      </c>
      <c r="B471" s="5">
        <v>38621</v>
      </c>
      <c r="C471" s="5">
        <v>44103</v>
      </c>
      <c r="D471" s="4">
        <v>15</v>
      </c>
      <c r="E471" s="6" t="str" cm="1">
        <f t="array" ref="E471">_xlfn.IFS(D471&lt;=5,"Newcomer",AND(D471&gt;=6,D471&lt;=10),"Proficient",D471&gt;10,"Expert")</f>
        <v>Expert</v>
      </c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 t="str" cm="1">
        <f t="array" ref="M471">_xlfn.IFS(L471="Retirement","Voluntary",L471="Resignation","Voluntary",L471="Layoff","InVoluntary")</f>
        <v>Voluntary</v>
      </c>
      <c r="N471" s="4" t="s">
        <v>26</v>
      </c>
      <c r="O471" s="41"/>
      <c r="P471">
        <v>1</v>
      </c>
      <c r="Q471" t="s">
        <v>173</v>
      </c>
    </row>
    <row r="472" spans="1:17" x14ac:dyDescent="0.35">
      <c r="A472" s="4">
        <v>3271</v>
      </c>
      <c r="B472" s="5">
        <v>34626</v>
      </c>
      <c r="C472" s="5">
        <v>44135</v>
      </c>
      <c r="D472" s="4">
        <v>26</v>
      </c>
      <c r="E472" s="6" t="str" cm="1">
        <f t="array" ref="E472">_xlfn.IFS(D472&lt;=5,"Newcomer",AND(D472&gt;=6,D472&lt;=10),"Proficient",D472&gt;10,"Expert")</f>
        <v>Expert</v>
      </c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 t="str" cm="1">
        <f t="array" ref="M472">_xlfn.IFS(L472="Retirement","Voluntary",L472="Resignation","Voluntary",L472="Layoff","InVoluntary")</f>
        <v>Voluntary</v>
      </c>
      <c r="N472" s="4" t="s">
        <v>26</v>
      </c>
      <c r="O472" s="41"/>
      <c r="P472">
        <v>1</v>
      </c>
      <c r="Q472" t="s">
        <v>173</v>
      </c>
    </row>
    <row r="473" spans="1:17" x14ac:dyDescent="0.35">
      <c r="A473" s="4">
        <v>3272</v>
      </c>
      <c r="B473" s="5">
        <v>41611</v>
      </c>
      <c r="C473" s="5">
        <v>43930</v>
      </c>
      <c r="D473" s="4">
        <v>7</v>
      </c>
      <c r="E473" s="6" t="str" cm="1">
        <f t="array" ref="E473">_xlfn.IFS(D473&lt;=5,"Newcomer",AND(D473&gt;=6,D473&lt;=10),"Proficient",D473&gt;10,"Expert")</f>
        <v>Proficient</v>
      </c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 t="str" cm="1">
        <f t="array" ref="M473">_xlfn.IFS(L473="Retirement","Voluntary",L473="Resignation","Voluntary",L473="Layoff","InVoluntary")</f>
        <v>Voluntary</v>
      </c>
      <c r="N473" s="4" t="s">
        <v>26</v>
      </c>
      <c r="O473" s="41"/>
      <c r="P473">
        <v>1</v>
      </c>
      <c r="Q473" t="s">
        <v>173</v>
      </c>
    </row>
    <row r="474" spans="1:17" x14ac:dyDescent="0.35">
      <c r="A474" s="4">
        <v>3273</v>
      </c>
      <c r="B474" s="5">
        <v>40404</v>
      </c>
      <c r="C474" s="5">
        <v>43982</v>
      </c>
      <c r="D474" s="4">
        <v>10</v>
      </c>
      <c r="E474" s="6" t="str" cm="1">
        <f t="array" ref="E474">_xlfn.IFS(D474&lt;=5,"Newcomer",AND(D474&gt;=6,D474&lt;=10),"Proficient",D474&gt;10,"Expert")</f>
        <v>Proficient</v>
      </c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 t="str" cm="1">
        <f t="array" ref="M474">_xlfn.IFS(L474="Retirement","Voluntary",L474="Resignation","Voluntary",L474="Layoff","InVoluntary")</f>
        <v>InVoluntary</v>
      </c>
      <c r="N474" s="4" t="s">
        <v>26</v>
      </c>
      <c r="O474" s="41"/>
      <c r="P474">
        <v>1</v>
      </c>
      <c r="Q474" t="s">
        <v>174</v>
      </c>
    </row>
    <row r="475" spans="1:17" x14ac:dyDescent="0.35">
      <c r="A475" s="4">
        <v>3275</v>
      </c>
      <c r="B475" s="5">
        <v>40500</v>
      </c>
      <c r="C475" s="5">
        <v>43987</v>
      </c>
      <c r="D475" s="4">
        <v>10</v>
      </c>
      <c r="E475" s="6" t="str" cm="1">
        <f t="array" ref="E475">_xlfn.IFS(D475&lt;=5,"Newcomer",AND(D475&gt;=6,D475&lt;=10),"Proficient",D475&gt;10,"Expert")</f>
        <v>Proficient</v>
      </c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 t="str" cm="1">
        <f t="array" ref="M475">_xlfn.IFS(L475="Retirement","Voluntary",L475="Resignation","Voluntary",L475="Layoff","InVoluntary")</f>
        <v>Voluntary</v>
      </c>
      <c r="N475" s="4" t="s">
        <v>26</v>
      </c>
      <c r="O475" s="41"/>
      <c r="P475">
        <v>1</v>
      </c>
      <c r="Q475" t="s">
        <v>173</v>
      </c>
    </row>
    <row r="476" spans="1:17" x14ac:dyDescent="0.35">
      <c r="A476" s="4">
        <v>3294</v>
      </c>
      <c r="B476" s="5">
        <v>37501</v>
      </c>
      <c r="C476" s="5">
        <v>43859</v>
      </c>
      <c r="D476" s="4">
        <v>18</v>
      </c>
      <c r="E476" s="6" t="str" cm="1">
        <f t="array" ref="E476">_xlfn.IFS(D476&lt;=5,"Newcomer",AND(D476&gt;=6,D476&lt;=10),"Proficient",D476&gt;10,"Expert")</f>
        <v>Expert</v>
      </c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 t="str" cm="1">
        <f t="array" ref="M476">_xlfn.IFS(L476="Retirement","Voluntary",L476="Resignation","Voluntary",L476="Layoff","InVoluntary")</f>
        <v>InVoluntary</v>
      </c>
      <c r="N476" s="4" t="s">
        <v>26</v>
      </c>
      <c r="O476" s="41"/>
      <c r="P476">
        <v>1</v>
      </c>
      <c r="Q476" t="s">
        <v>174</v>
      </c>
    </row>
    <row r="477" spans="1:17" x14ac:dyDescent="0.35">
      <c r="A477" s="4">
        <v>3296</v>
      </c>
      <c r="B477" s="5">
        <v>39419</v>
      </c>
      <c r="C477" s="5">
        <v>43831</v>
      </c>
      <c r="D477" s="4">
        <v>13</v>
      </c>
      <c r="E477" s="6" t="str" cm="1">
        <f t="array" ref="E477">_xlfn.IFS(D477&lt;=5,"Newcomer",AND(D477&gt;=6,D477&lt;=10),"Proficient",D477&gt;10,"Expert")</f>
        <v>Expert</v>
      </c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 t="str" cm="1">
        <f t="array" ref="M477">_xlfn.IFS(L477="Retirement","Voluntary",L477="Resignation","Voluntary",L477="Layoff","InVoluntary")</f>
        <v>InVoluntary</v>
      </c>
      <c r="N477" s="4" t="s">
        <v>26</v>
      </c>
      <c r="O477" s="41"/>
      <c r="P477">
        <v>1</v>
      </c>
      <c r="Q477" t="s">
        <v>174</v>
      </c>
    </row>
    <row r="478" spans="1:17" x14ac:dyDescent="0.35">
      <c r="A478" s="4">
        <v>3310</v>
      </c>
      <c r="B478" s="5">
        <v>41790</v>
      </c>
      <c r="C478" s="5">
        <v>44162</v>
      </c>
      <c r="D478" s="4">
        <v>6</v>
      </c>
      <c r="E478" s="6" t="str" cm="1">
        <f t="array" ref="E478">_xlfn.IFS(D478&lt;=5,"Newcomer",AND(D478&gt;=6,D478&lt;=10),"Proficient",D478&gt;10,"Expert")</f>
        <v>Proficient</v>
      </c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 t="str" cm="1">
        <f t="array" ref="M478">_xlfn.IFS(L478="Retirement","Voluntary",L478="Resignation","Voluntary",L478="Layoff","InVoluntary")</f>
        <v>InVoluntary</v>
      </c>
      <c r="N478" s="4" t="s">
        <v>26</v>
      </c>
      <c r="O478" s="41"/>
      <c r="P478">
        <v>1</v>
      </c>
      <c r="Q478" t="s">
        <v>174</v>
      </c>
    </row>
    <row r="479" spans="1:17" x14ac:dyDescent="0.35">
      <c r="A479" s="4">
        <v>3327</v>
      </c>
      <c r="B479" s="5">
        <v>35439</v>
      </c>
      <c r="C479" s="5">
        <v>43956</v>
      </c>
      <c r="D479" s="4">
        <v>23</v>
      </c>
      <c r="E479" s="6" t="str" cm="1">
        <f t="array" ref="E479">_xlfn.IFS(D479&lt;=5,"Newcomer",AND(D479&gt;=6,D479&lt;=10),"Proficient",D479&gt;10,"Expert")</f>
        <v>Expert</v>
      </c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 t="str" cm="1">
        <f t="array" ref="M479">_xlfn.IFS(L479="Retirement","Voluntary",L479="Resignation","Voluntary",L479="Layoff","InVoluntary")</f>
        <v>InVoluntary</v>
      </c>
      <c r="N479" s="4" t="s">
        <v>26</v>
      </c>
      <c r="O479" s="41"/>
      <c r="P479">
        <v>1</v>
      </c>
      <c r="Q479" t="s">
        <v>174</v>
      </c>
    </row>
    <row r="480" spans="1:17" x14ac:dyDescent="0.35">
      <c r="A480" s="4">
        <v>3330</v>
      </c>
      <c r="B480" s="5">
        <v>40924</v>
      </c>
      <c r="C480" s="5">
        <v>44113</v>
      </c>
      <c r="D480" s="4">
        <v>8</v>
      </c>
      <c r="E480" s="6" t="str" cm="1">
        <f t="array" ref="E480">_xlfn.IFS(D480&lt;=5,"Newcomer",AND(D480&gt;=6,D480&lt;=10),"Proficient",D480&gt;10,"Expert")</f>
        <v>Proficient</v>
      </c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 t="str" cm="1">
        <f t="array" ref="M480">_xlfn.IFS(L480="Retirement","Voluntary",L480="Resignation","Voluntary",L480="Layoff","InVoluntary")</f>
        <v>InVoluntary</v>
      </c>
      <c r="N480" s="4" t="s">
        <v>26</v>
      </c>
      <c r="O480" s="41"/>
      <c r="P480">
        <v>1</v>
      </c>
      <c r="Q480" t="s">
        <v>174</v>
      </c>
    </row>
    <row r="481" spans="1:17" x14ac:dyDescent="0.35">
      <c r="A481" s="4">
        <v>3338</v>
      </c>
      <c r="B481" s="5">
        <v>36229</v>
      </c>
      <c r="C481" s="5">
        <v>43838</v>
      </c>
      <c r="D481" s="4">
        <v>21</v>
      </c>
      <c r="E481" s="6" t="str" cm="1">
        <f t="array" ref="E481">_xlfn.IFS(D481&lt;=5,"Newcomer",AND(D481&gt;=6,D481&lt;=10),"Proficient",D481&gt;10,"Expert")</f>
        <v>Expert</v>
      </c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 t="str" cm="1">
        <f t="array" ref="M481">_xlfn.IFS(L481="Retirement","Voluntary",L481="Resignation","Voluntary",L481="Layoff","InVoluntary")</f>
        <v>InVoluntary</v>
      </c>
      <c r="N481" s="4" t="s">
        <v>26</v>
      </c>
      <c r="O481" s="41"/>
      <c r="P481">
        <v>1</v>
      </c>
      <c r="Q481" t="s">
        <v>174</v>
      </c>
    </row>
    <row r="482" spans="1:17" x14ac:dyDescent="0.35">
      <c r="A482" s="4">
        <v>3346</v>
      </c>
      <c r="B482" s="5">
        <v>40596</v>
      </c>
      <c r="C482" s="5">
        <v>44124</v>
      </c>
      <c r="D482" s="4">
        <v>9</v>
      </c>
      <c r="E482" s="6" t="str" cm="1">
        <f t="array" ref="E482">_xlfn.IFS(D482&lt;=5,"Newcomer",AND(D482&gt;=6,D482&lt;=10),"Proficient",D482&gt;10,"Expert")</f>
        <v>Proficient</v>
      </c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 t="str" cm="1">
        <f t="array" ref="M482">_xlfn.IFS(L482="Retirement","Voluntary",L482="Resignation","Voluntary",L482="Layoff","InVoluntary")</f>
        <v>InVoluntary</v>
      </c>
      <c r="N482" s="4" t="s">
        <v>26</v>
      </c>
      <c r="O482" s="41"/>
      <c r="P482">
        <v>1</v>
      </c>
      <c r="Q482" t="s">
        <v>174</v>
      </c>
    </row>
    <row r="483" spans="1:17" x14ac:dyDescent="0.35">
      <c r="A483" s="4">
        <v>3350</v>
      </c>
      <c r="B483" s="5">
        <v>37144</v>
      </c>
      <c r="C483" s="5">
        <v>44142</v>
      </c>
      <c r="D483" s="4">
        <v>19</v>
      </c>
      <c r="E483" s="6" t="str" cm="1">
        <f t="array" ref="E483">_xlfn.IFS(D483&lt;=5,"Newcomer",AND(D483&gt;=6,D483&lt;=10),"Proficient",D483&gt;10,"Expert")</f>
        <v>Expert</v>
      </c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 t="str" cm="1">
        <f t="array" ref="M483">_xlfn.IFS(L483="Retirement","Voluntary",L483="Resignation","Voluntary",L483="Layoff","InVoluntary")</f>
        <v>InVoluntary</v>
      </c>
      <c r="N483" s="4" t="s">
        <v>26</v>
      </c>
      <c r="O483" s="41"/>
      <c r="P483">
        <v>1</v>
      </c>
      <c r="Q483" t="s">
        <v>174</v>
      </c>
    </row>
    <row r="484" spans="1:17" x14ac:dyDescent="0.35">
      <c r="A484" s="4">
        <v>3351</v>
      </c>
      <c r="B484" s="5">
        <v>37425</v>
      </c>
      <c r="C484" s="5">
        <v>43876</v>
      </c>
      <c r="D484" s="4">
        <v>18</v>
      </c>
      <c r="E484" s="6" t="str" cm="1">
        <f t="array" ref="E484">_xlfn.IFS(D484&lt;=5,"Newcomer",AND(D484&gt;=6,D484&lt;=10),"Proficient",D484&gt;10,"Expert")</f>
        <v>Expert</v>
      </c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 t="str" cm="1">
        <f t="array" ref="M484">_xlfn.IFS(L484="Retirement","Voluntary",L484="Resignation","Voluntary",L484="Layoff","InVoluntary")</f>
        <v>InVoluntary</v>
      </c>
      <c r="N484" s="4" t="s">
        <v>26</v>
      </c>
      <c r="O484" s="41"/>
      <c r="P484">
        <v>1</v>
      </c>
      <c r="Q484" t="s">
        <v>174</v>
      </c>
    </row>
    <row r="485" spans="1:17" x14ac:dyDescent="0.35">
      <c r="A485" s="4">
        <v>3356</v>
      </c>
      <c r="B485" s="5">
        <v>34245</v>
      </c>
      <c r="C485" s="5">
        <v>44022</v>
      </c>
      <c r="D485" s="4">
        <v>27</v>
      </c>
      <c r="E485" s="6" t="str" cm="1">
        <f t="array" ref="E485">_xlfn.IFS(D485&lt;=5,"Newcomer",AND(D485&gt;=6,D485&lt;=10),"Proficient",D485&gt;10,"Expert")</f>
        <v>Expert</v>
      </c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 t="str" cm="1">
        <f t="array" ref="M485">_xlfn.IFS(L485="Retirement","Voluntary",L485="Resignation","Voluntary",L485="Layoff","InVoluntary")</f>
        <v>InVoluntary</v>
      </c>
      <c r="N485" s="4" t="s">
        <v>26</v>
      </c>
      <c r="O485" s="41"/>
      <c r="P485">
        <v>1</v>
      </c>
      <c r="Q485" t="s">
        <v>174</v>
      </c>
    </row>
    <row r="486" spans="1:17" x14ac:dyDescent="0.35">
      <c r="A486" s="4">
        <v>3358</v>
      </c>
      <c r="B486" s="5">
        <v>41632</v>
      </c>
      <c r="C486" s="5">
        <v>43833</v>
      </c>
      <c r="D486" s="4">
        <v>7</v>
      </c>
      <c r="E486" s="6" t="str" cm="1">
        <f t="array" ref="E486">_xlfn.IFS(D486&lt;=5,"Newcomer",AND(D486&gt;=6,D486&lt;=10),"Proficient",D486&gt;10,"Expert")</f>
        <v>Proficient</v>
      </c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 t="str" cm="1">
        <f t="array" ref="M486">_xlfn.IFS(L486="Retirement","Voluntary",L486="Resignation","Voluntary",L486="Layoff","InVoluntary")</f>
        <v>InVoluntary</v>
      </c>
      <c r="N486" s="4" t="s">
        <v>26</v>
      </c>
      <c r="O486" s="41"/>
      <c r="P486">
        <v>1</v>
      </c>
      <c r="Q486" t="s">
        <v>174</v>
      </c>
    </row>
    <row r="487" spans="1:17" x14ac:dyDescent="0.35">
      <c r="A487" s="4">
        <v>3359</v>
      </c>
      <c r="B487" s="5">
        <v>36664</v>
      </c>
      <c r="C487" s="5">
        <v>43962</v>
      </c>
      <c r="D487" s="4">
        <v>20</v>
      </c>
      <c r="E487" s="6" t="str" cm="1">
        <f t="array" ref="E487">_xlfn.IFS(D487&lt;=5,"Newcomer",AND(D487&gt;=6,D487&lt;=10),"Proficient",D487&gt;10,"Expert")</f>
        <v>Expert</v>
      </c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 t="str" cm="1">
        <f t="array" ref="M487">_xlfn.IFS(L487="Retirement","Voluntary",L487="Resignation","Voluntary",L487="Layoff","InVoluntary")</f>
        <v>InVoluntary</v>
      </c>
      <c r="N487" s="4" t="s">
        <v>26</v>
      </c>
      <c r="O487" s="41"/>
      <c r="P487">
        <v>1</v>
      </c>
      <c r="Q487" t="s">
        <v>174</v>
      </c>
    </row>
    <row r="488" spans="1:17" x14ac:dyDescent="0.35">
      <c r="A488" s="4">
        <v>3361</v>
      </c>
      <c r="B488" s="5">
        <v>39889</v>
      </c>
      <c r="C488" s="5">
        <v>43910</v>
      </c>
      <c r="D488" s="4">
        <v>11</v>
      </c>
      <c r="E488" s="6" t="str" cm="1">
        <f t="array" ref="E488">_xlfn.IFS(D488&lt;=5,"Newcomer",AND(D488&gt;=6,D488&lt;=10),"Proficient",D488&gt;10,"Expert")</f>
        <v>Expert</v>
      </c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 t="str" cm="1">
        <f t="array" ref="M488">_xlfn.IFS(L488="Retirement","Voluntary",L488="Resignation","Voluntary",L488="Layoff","InVoluntary")</f>
        <v>InVoluntary</v>
      </c>
      <c r="N488" s="4" t="s">
        <v>26</v>
      </c>
      <c r="O488" s="41"/>
      <c r="P488">
        <v>1</v>
      </c>
      <c r="Q488" t="s">
        <v>174</v>
      </c>
    </row>
    <row r="489" spans="1:17" x14ac:dyDescent="0.35">
      <c r="A489" s="4">
        <v>3366</v>
      </c>
      <c r="B489" s="5">
        <v>40955</v>
      </c>
      <c r="C489" s="5">
        <v>44143</v>
      </c>
      <c r="D489" s="4">
        <v>8</v>
      </c>
      <c r="E489" s="6" t="str" cm="1">
        <f t="array" ref="E489">_xlfn.IFS(D489&lt;=5,"Newcomer",AND(D489&gt;=6,D489&lt;=10),"Proficient",D489&gt;10,"Expert")</f>
        <v>Proficient</v>
      </c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 t="str" cm="1">
        <f t="array" ref="M489">_xlfn.IFS(L489="Retirement","Voluntary",L489="Resignation","Voluntary",L489="Layoff","InVoluntary")</f>
        <v>InVoluntary</v>
      </c>
      <c r="N489" s="4" t="s">
        <v>26</v>
      </c>
      <c r="O489" s="41"/>
      <c r="P489">
        <v>1</v>
      </c>
      <c r="Q489" t="s">
        <v>174</v>
      </c>
    </row>
    <row r="490" spans="1:17" x14ac:dyDescent="0.35">
      <c r="A490" s="4">
        <v>3368</v>
      </c>
      <c r="B490" s="5">
        <v>38155</v>
      </c>
      <c r="C490" s="5">
        <v>44155</v>
      </c>
      <c r="D490" s="4">
        <v>16</v>
      </c>
      <c r="E490" s="6" t="str" cm="1">
        <f t="array" ref="E490">_xlfn.IFS(D490&lt;=5,"Newcomer",AND(D490&gt;=6,D490&lt;=10),"Proficient",D490&gt;10,"Expert")</f>
        <v>Expert</v>
      </c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 t="str" cm="1">
        <f t="array" ref="M490">_xlfn.IFS(L490="Retirement","Voluntary",L490="Resignation","Voluntary",L490="Layoff","InVoluntary")</f>
        <v>InVoluntary</v>
      </c>
      <c r="N490" s="4" t="s">
        <v>26</v>
      </c>
      <c r="O490" s="41"/>
      <c r="P490">
        <v>1</v>
      </c>
      <c r="Q490" t="s">
        <v>174</v>
      </c>
    </row>
    <row r="491" spans="1:17" x14ac:dyDescent="0.35">
      <c r="A491" s="4">
        <v>3371</v>
      </c>
      <c r="B491" s="5">
        <v>41754</v>
      </c>
      <c r="C491" s="5">
        <v>44013</v>
      </c>
      <c r="D491" s="4">
        <v>6</v>
      </c>
      <c r="E491" s="6" t="str" cm="1">
        <f t="array" ref="E491">_xlfn.IFS(D491&lt;=5,"Newcomer",AND(D491&gt;=6,D491&lt;=10),"Proficient",D491&gt;10,"Expert")</f>
        <v>Proficient</v>
      </c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 t="str" cm="1">
        <f t="array" ref="M491">_xlfn.IFS(L491="Retirement","Voluntary",L491="Resignation","Voluntary",L491="Layoff","InVoluntary")</f>
        <v>InVoluntary</v>
      </c>
      <c r="N491" s="4" t="s">
        <v>26</v>
      </c>
      <c r="O491" s="41"/>
      <c r="P491">
        <v>1</v>
      </c>
      <c r="Q491" t="s">
        <v>174</v>
      </c>
    </row>
    <row r="492" spans="1:17" x14ac:dyDescent="0.35">
      <c r="A492" s="4">
        <v>3383</v>
      </c>
      <c r="B492" s="5">
        <v>37089</v>
      </c>
      <c r="C492" s="5">
        <v>44178</v>
      </c>
      <c r="D492" s="4">
        <v>19</v>
      </c>
      <c r="E492" s="6" t="str" cm="1">
        <f t="array" ref="E492">_xlfn.IFS(D492&lt;=5,"Newcomer",AND(D492&gt;=6,D492&lt;=10),"Proficient",D492&gt;10,"Expert")</f>
        <v>Expert</v>
      </c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 t="str" cm="1">
        <f t="array" ref="M492">_xlfn.IFS(L492="Retirement","Voluntary",L492="Resignation","Voluntary",L492="Layoff","InVoluntary")</f>
        <v>InVoluntary</v>
      </c>
      <c r="N492" s="4" t="s">
        <v>26</v>
      </c>
      <c r="O492" s="41"/>
      <c r="P492">
        <v>1</v>
      </c>
      <c r="Q492" t="s">
        <v>174</v>
      </c>
    </row>
    <row r="493" spans="1:17" x14ac:dyDescent="0.35">
      <c r="A493" s="4">
        <v>3391</v>
      </c>
      <c r="B493" s="5">
        <v>35279</v>
      </c>
      <c r="C493" s="5">
        <v>44132</v>
      </c>
      <c r="D493" s="4">
        <v>24</v>
      </c>
      <c r="E493" s="6" t="str" cm="1">
        <f t="array" ref="E493">_xlfn.IFS(D493&lt;=5,"Newcomer",AND(D493&gt;=6,D493&lt;=10),"Proficient",D493&gt;10,"Expert")</f>
        <v>Expert</v>
      </c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 t="str" cm="1">
        <f t="array" ref="M493">_xlfn.IFS(L493="Retirement","Voluntary",L493="Resignation","Voluntary",L493="Layoff","InVoluntary")</f>
        <v>InVoluntary</v>
      </c>
      <c r="N493" s="4" t="s">
        <v>26</v>
      </c>
      <c r="O493" s="41"/>
      <c r="P493">
        <v>1</v>
      </c>
      <c r="Q493" t="s">
        <v>174</v>
      </c>
    </row>
    <row r="494" spans="1:17" x14ac:dyDescent="0.35">
      <c r="A494" s="4">
        <v>3393</v>
      </c>
      <c r="B494" s="5">
        <v>38377</v>
      </c>
      <c r="C494" s="5">
        <v>44032</v>
      </c>
      <c r="D494" s="4">
        <v>15</v>
      </c>
      <c r="E494" s="6" t="str" cm="1">
        <f t="array" ref="E494">_xlfn.IFS(D494&lt;=5,"Newcomer",AND(D494&gt;=6,D494&lt;=10),"Proficient",D494&gt;10,"Expert")</f>
        <v>Expert</v>
      </c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 t="str" cm="1">
        <f t="array" ref="M494">_xlfn.IFS(L494="Retirement","Voluntary",L494="Resignation","Voluntary",L494="Layoff","InVoluntary")</f>
        <v>InVoluntary</v>
      </c>
      <c r="N494" s="4" t="s">
        <v>26</v>
      </c>
      <c r="O494" s="41"/>
      <c r="P494">
        <v>1</v>
      </c>
      <c r="Q494" t="s">
        <v>174</v>
      </c>
    </row>
    <row r="495" spans="1:17" x14ac:dyDescent="0.35">
      <c r="A495" s="4">
        <v>3401</v>
      </c>
      <c r="B495" s="5">
        <v>37018</v>
      </c>
      <c r="C495" s="5">
        <v>43915</v>
      </c>
      <c r="D495" s="4">
        <v>19</v>
      </c>
      <c r="E495" s="6" t="str" cm="1">
        <f t="array" ref="E495">_xlfn.IFS(D495&lt;=5,"Newcomer",AND(D495&gt;=6,D495&lt;=10),"Proficient",D495&gt;10,"Expert")</f>
        <v>Expert</v>
      </c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 t="str" cm="1">
        <f t="array" ref="M495">_xlfn.IFS(L495="Retirement","Voluntary",L495="Resignation","Voluntary",L495="Layoff","InVoluntary")</f>
        <v>InVoluntary</v>
      </c>
      <c r="N495" s="4" t="s">
        <v>26</v>
      </c>
      <c r="O495" s="41"/>
      <c r="P495">
        <v>1</v>
      </c>
      <c r="Q495" t="s">
        <v>174</v>
      </c>
    </row>
    <row r="496" spans="1:17" x14ac:dyDescent="0.35">
      <c r="A496" s="4">
        <v>3405</v>
      </c>
      <c r="B496" s="5">
        <v>41024</v>
      </c>
      <c r="C496" s="5">
        <v>44191</v>
      </c>
      <c r="D496" s="4">
        <v>8</v>
      </c>
      <c r="E496" s="6" t="str" cm="1">
        <f t="array" ref="E496">_xlfn.IFS(D496&lt;=5,"Newcomer",AND(D496&gt;=6,D496&lt;=10),"Proficient",D496&gt;10,"Expert")</f>
        <v>Proficient</v>
      </c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 t="str" cm="1">
        <f t="array" ref="M496">_xlfn.IFS(L496="Retirement","Voluntary",L496="Resignation","Voluntary",L496="Layoff","InVoluntary")</f>
        <v>InVoluntary</v>
      </c>
      <c r="N496" s="4" t="s">
        <v>26</v>
      </c>
      <c r="O496" s="41"/>
      <c r="P496">
        <v>1</v>
      </c>
      <c r="Q496" t="s">
        <v>174</v>
      </c>
    </row>
    <row r="497" spans="1:17" x14ac:dyDescent="0.35">
      <c r="A497" s="4">
        <v>3408</v>
      </c>
      <c r="B497" s="5">
        <v>42040</v>
      </c>
      <c r="C497" s="5">
        <v>43874</v>
      </c>
      <c r="D497" s="4">
        <v>5</v>
      </c>
      <c r="E497" s="6" t="str" cm="1">
        <f t="array" ref="E497">_xlfn.IFS(D497&lt;=5,"Newcomer",AND(D497&gt;=6,D497&lt;=10),"Proficient",D497&gt;10,"Expert")</f>
        <v>Newcomer</v>
      </c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 t="str" cm="1">
        <f t="array" ref="M497">_xlfn.IFS(L497="Retirement","Voluntary",L497="Resignation","Voluntary",L497="Layoff","InVoluntary")</f>
        <v>InVoluntary</v>
      </c>
      <c r="N497" s="4" t="s">
        <v>26</v>
      </c>
      <c r="O497" s="41"/>
      <c r="P497">
        <v>1</v>
      </c>
      <c r="Q497" t="s">
        <v>174</v>
      </c>
    </row>
    <row r="498" spans="1:17" x14ac:dyDescent="0.35">
      <c r="A498" s="4">
        <v>3410</v>
      </c>
      <c r="B498" s="5">
        <v>38016</v>
      </c>
      <c r="C498" s="5">
        <v>44133</v>
      </c>
      <c r="D498" s="4">
        <v>16</v>
      </c>
      <c r="E498" s="6" t="str" cm="1">
        <f t="array" ref="E498">_xlfn.IFS(D498&lt;=5,"Newcomer",AND(D498&gt;=6,D498&lt;=10),"Proficient",D498&gt;10,"Expert")</f>
        <v>Expert</v>
      </c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 t="str" cm="1">
        <f t="array" ref="M498">_xlfn.IFS(L498="Retirement","Voluntary",L498="Resignation","Voluntary",L498="Layoff","InVoluntary")</f>
        <v>InVoluntary</v>
      </c>
      <c r="N498" s="4" t="s">
        <v>26</v>
      </c>
      <c r="O498" s="41"/>
      <c r="P498">
        <v>1</v>
      </c>
      <c r="Q498" t="s">
        <v>174</v>
      </c>
    </row>
    <row r="499" spans="1:17" x14ac:dyDescent="0.35">
      <c r="A499" s="4">
        <v>3417</v>
      </c>
      <c r="B499" s="5">
        <v>36355</v>
      </c>
      <c r="C499" s="5">
        <v>44162</v>
      </c>
      <c r="D499" s="4">
        <v>21</v>
      </c>
      <c r="E499" s="6" t="str" cm="1">
        <f t="array" ref="E499">_xlfn.IFS(D499&lt;=5,"Newcomer",AND(D499&gt;=6,D499&lt;=10),"Proficient",D499&gt;10,"Expert")</f>
        <v>Expert</v>
      </c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 t="str" cm="1">
        <f t="array" ref="M499">_xlfn.IFS(L499="Retirement","Voluntary",L499="Resignation","Voluntary",L499="Layoff","InVoluntary")</f>
        <v>InVoluntary</v>
      </c>
      <c r="N499" s="4" t="s">
        <v>26</v>
      </c>
      <c r="O499" s="41"/>
      <c r="P499">
        <v>1</v>
      </c>
      <c r="Q499" t="s">
        <v>174</v>
      </c>
    </row>
    <row r="500" spans="1:17" x14ac:dyDescent="0.35">
      <c r="A500" s="4">
        <v>3426</v>
      </c>
      <c r="B500" s="5">
        <v>41887</v>
      </c>
      <c r="C500" s="5">
        <v>44060</v>
      </c>
      <c r="D500" s="4">
        <v>6</v>
      </c>
      <c r="E500" s="6" t="str" cm="1">
        <f t="array" ref="E500">_xlfn.IFS(D500&lt;=5,"Newcomer",AND(D500&gt;=6,D500&lt;=10),"Proficient",D500&gt;10,"Expert")</f>
        <v>Proficient</v>
      </c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 t="str" cm="1">
        <f t="array" ref="M500">_xlfn.IFS(L500="Retirement","Voluntary",L500="Resignation","Voluntary",L500="Layoff","InVoluntary")</f>
        <v>InVoluntary</v>
      </c>
      <c r="N500" s="4" t="s">
        <v>26</v>
      </c>
      <c r="O500" s="41"/>
      <c r="P500">
        <v>1</v>
      </c>
      <c r="Q500" t="s">
        <v>174</v>
      </c>
    </row>
    <row r="501" spans="1:17" x14ac:dyDescent="0.35">
      <c r="A501" s="4">
        <v>3429</v>
      </c>
      <c r="B501" s="5">
        <v>39589</v>
      </c>
      <c r="C501" s="5">
        <v>43976</v>
      </c>
      <c r="D501" s="4">
        <v>12</v>
      </c>
      <c r="E501" s="6" t="str" cm="1">
        <f t="array" ref="E501">_xlfn.IFS(D501&lt;=5,"Newcomer",AND(D501&gt;=6,D501&lt;=10),"Proficient",D501&gt;10,"Expert")</f>
        <v>Expert</v>
      </c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 t="str" cm="1">
        <f t="array" ref="M501">_xlfn.IFS(L501="Retirement","Voluntary",L501="Resignation","Voluntary",L501="Layoff","InVoluntary")</f>
        <v>InVoluntary</v>
      </c>
      <c r="N501" s="4" t="s">
        <v>26</v>
      </c>
      <c r="O501" s="41"/>
      <c r="P501">
        <v>1</v>
      </c>
      <c r="Q501" t="s">
        <v>174</v>
      </c>
    </row>
    <row r="502" spans="1:17" x14ac:dyDescent="0.35">
      <c r="A502" s="4">
        <v>3435</v>
      </c>
      <c r="B502" s="5">
        <v>40049</v>
      </c>
      <c r="C502" s="5">
        <v>43890</v>
      </c>
      <c r="D502" s="4">
        <v>11</v>
      </c>
      <c r="E502" s="6" t="str" cm="1">
        <f t="array" ref="E502">_xlfn.IFS(D502&lt;=5,"Newcomer",AND(D502&gt;=6,D502&lt;=10),"Proficient",D502&gt;10,"Expert")</f>
        <v>Expert</v>
      </c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 t="str" cm="1">
        <f t="array" ref="M502">_xlfn.IFS(L502="Retirement","Voluntary",L502="Resignation","Voluntary",L502="Layoff","InVoluntary")</f>
        <v>InVoluntary</v>
      </c>
      <c r="N502" s="4" t="s">
        <v>26</v>
      </c>
      <c r="O502" s="41"/>
      <c r="P502">
        <v>1</v>
      </c>
      <c r="Q502" t="s">
        <v>174</v>
      </c>
    </row>
    <row r="503" spans="1:17" x14ac:dyDescent="0.35">
      <c r="A503" s="4">
        <v>3437</v>
      </c>
      <c r="B503" s="5">
        <v>34751</v>
      </c>
      <c r="C503" s="5">
        <v>43855</v>
      </c>
      <c r="D503" s="4">
        <v>25</v>
      </c>
      <c r="E503" s="6" t="str" cm="1">
        <f t="array" ref="E503">_xlfn.IFS(D503&lt;=5,"Newcomer",AND(D503&gt;=6,D503&lt;=10),"Proficient",D503&gt;10,"Expert")</f>
        <v>Expert</v>
      </c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 t="str" cm="1">
        <f t="array" ref="M503">_xlfn.IFS(L503="Retirement","Voluntary",L503="Resignation","Voluntary",L503="Layoff","InVoluntary")</f>
        <v>InVoluntary</v>
      </c>
      <c r="N503" s="4" t="s">
        <v>26</v>
      </c>
      <c r="O503" s="41"/>
      <c r="P503">
        <v>1</v>
      </c>
      <c r="Q503" t="s">
        <v>174</v>
      </c>
    </row>
    <row r="504" spans="1:17" x14ac:dyDescent="0.35">
      <c r="A504" s="4">
        <v>3441</v>
      </c>
      <c r="B504" s="5">
        <v>37404</v>
      </c>
      <c r="C504" s="5">
        <v>44182</v>
      </c>
      <c r="D504" s="4">
        <v>18</v>
      </c>
      <c r="E504" s="6" t="str" cm="1">
        <f t="array" ref="E504">_xlfn.IFS(D504&lt;=5,"Newcomer",AND(D504&gt;=6,D504&lt;=10),"Proficient",D504&gt;10,"Expert")</f>
        <v>Expert</v>
      </c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 t="str" cm="1">
        <f t="array" ref="M504">_xlfn.IFS(L504="Retirement","Voluntary",L504="Resignation","Voluntary",L504="Layoff","InVoluntary")</f>
        <v>InVoluntary</v>
      </c>
      <c r="N504" s="4" t="s">
        <v>26</v>
      </c>
      <c r="O504" s="41"/>
      <c r="P504">
        <v>1</v>
      </c>
      <c r="Q504" t="s">
        <v>174</v>
      </c>
    </row>
    <row r="505" spans="1:17" x14ac:dyDescent="0.35">
      <c r="A505" s="4">
        <v>3447</v>
      </c>
      <c r="B505" s="5">
        <v>39133</v>
      </c>
      <c r="C505" s="5">
        <v>44076</v>
      </c>
      <c r="D505" s="4">
        <v>13</v>
      </c>
      <c r="E505" s="6" t="str" cm="1">
        <f t="array" ref="E505">_xlfn.IFS(D505&lt;=5,"Newcomer",AND(D505&gt;=6,D505&lt;=10),"Proficient",D505&gt;10,"Expert")</f>
        <v>Expert</v>
      </c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 t="str" cm="1">
        <f t="array" ref="M505">_xlfn.IFS(L505="Retirement","Voluntary",L505="Resignation","Voluntary",L505="Layoff","InVoluntary")</f>
        <v>Voluntary</v>
      </c>
      <c r="N505" s="4" t="s">
        <v>26</v>
      </c>
      <c r="O505" s="41"/>
      <c r="P505">
        <v>1</v>
      </c>
      <c r="Q505" t="s">
        <v>173</v>
      </c>
    </row>
    <row r="506" spans="1:17" x14ac:dyDescent="0.35">
      <c r="A506" s="4">
        <v>3455</v>
      </c>
      <c r="B506" s="5">
        <v>38283</v>
      </c>
      <c r="C506" s="5">
        <v>44042</v>
      </c>
      <c r="D506" s="4">
        <v>16</v>
      </c>
      <c r="E506" s="6" t="str" cm="1">
        <f t="array" ref="E506">_xlfn.IFS(D506&lt;=5,"Newcomer",AND(D506&gt;=6,D506&lt;=10),"Proficient",D506&gt;10,"Expert")</f>
        <v>Expert</v>
      </c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 t="str" cm="1">
        <f t="array" ref="M506">_xlfn.IFS(L506="Retirement","Voluntary",L506="Resignation","Voluntary",L506="Layoff","InVoluntary")</f>
        <v>InVoluntary</v>
      </c>
      <c r="N506" s="4" t="s">
        <v>26</v>
      </c>
      <c r="O506" s="41"/>
      <c r="P506">
        <v>1</v>
      </c>
      <c r="Q506" t="s">
        <v>174</v>
      </c>
    </row>
    <row r="507" spans="1:17" x14ac:dyDescent="0.35">
      <c r="A507" s="4">
        <v>3464</v>
      </c>
      <c r="B507" s="5">
        <v>42234</v>
      </c>
      <c r="C507" s="5">
        <v>43844</v>
      </c>
      <c r="D507" s="4">
        <v>5</v>
      </c>
      <c r="E507" s="6" t="str" cm="1">
        <f t="array" ref="E507">_xlfn.IFS(D507&lt;=5,"Newcomer",AND(D507&gt;=6,D507&lt;=10),"Proficient",D507&gt;10,"Expert")</f>
        <v>Newcomer</v>
      </c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 t="str" cm="1">
        <f t="array" ref="M507">_xlfn.IFS(L507="Retirement","Voluntary",L507="Resignation","Voluntary",L507="Layoff","InVoluntary")</f>
        <v>InVoluntary</v>
      </c>
      <c r="N507" s="4" t="s">
        <v>26</v>
      </c>
      <c r="O507" s="41"/>
      <c r="P507">
        <v>1</v>
      </c>
      <c r="Q507" t="s">
        <v>174</v>
      </c>
    </row>
    <row r="508" spans="1:17" x14ac:dyDescent="0.35">
      <c r="A508" s="4">
        <v>3465</v>
      </c>
      <c r="B508" s="5">
        <v>39357</v>
      </c>
      <c r="C508" s="5">
        <v>43853</v>
      </c>
      <c r="D508" s="4">
        <v>13</v>
      </c>
      <c r="E508" s="6" t="str" cm="1">
        <f t="array" ref="E508">_xlfn.IFS(D508&lt;=5,"Newcomer",AND(D508&gt;=6,D508&lt;=10),"Proficient",D508&gt;10,"Expert")</f>
        <v>Expert</v>
      </c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 t="str" cm="1">
        <f t="array" ref="M508">_xlfn.IFS(L508="Retirement","Voluntary",L508="Resignation","Voluntary",L508="Layoff","InVoluntary")</f>
        <v>InVoluntary</v>
      </c>
      <c r="N508" s="4" t="s">
        <v>26</v>
      </c>
      <c r="O508" s="41"/>
      <c r="P508">
        <v>1</v>
      </c>
      <c r="Q508" t="s">
        <v>174</v>
      </c>
    </row>
    <row r="509" spans="1:17" x14ac:dyDescent="0.35">
      <c r="A509" s="4">
        <v>3470</v>
      </c>
      <c r="B509" s="5">
        <v>40192</v>
      </c>
      <c r="C509" s="5">
        <v>44137</v>
      </c>
      <c r="D509" s="4">
        <v>10</v>
      </c>
      <c r="E509" s="6" t="str" cm="1">
        <f t="array" ref="E509">_xlfn.IFS(D509&lt;=5,"Newcomer",AND(D509&gt;=6,D509&lt;=10),"Proficient",D509&gt;10,"Expert")</f>
        <v>Proficient</v>
      </c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 t="str" cm="1">
        <f t="array" ref="M509">_xlfn.IFS(L509="Retirement","Voluntary",L509="Resignation","Voluntary",L509="Layoff","InVoluntary")</f>
        <v>InVoluntary</v>
      </c>
      <c r="N509" s="4" t="s">
        <v>26</v>
      </c>
      <c r="O509" s="41"/>
      <c r="P509">
        <v>1</v>
      </c>
      <c r="Q509" t="s">
        <v>174</v>
      </c>
    </row>
    <row r="510" spans="1:17" x14ac:dyDescent="0.35">
      <c r="A510" s="4">
        <v>3475</v>
      </c>
      <c r="B510" s="5">
        <v>34199</v>
      </c>
      <c r="C510" s="5">
        <v>44193</v>
      </c>
      <c r="D510" s="4">
        <v>27</v>
      </c>
      <c r="E510" s="6" t="str" cm="1">
        <f t="array" ref="E510">_xlfn.IFS(D510&lt;=5,"Newcomer",AND(D510&gt;=6,D510&lt;=10),"Proficient",D510&gt;10,"Expert")</f>
        <v>Expert</v>
      </c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 t="str" cm="1">
        <f t="array" ref="M510">_xlfn.IFS(L510="Retirement","Voluntary",L510="Resignation","Voluntary",L510="Layoff","InVoluntary")</f>
        <v>InVoluntary</v>
      </c>
      <c r="N510" s="4" t="s">
        <v>26</v>
      </c>
      <c r="O510" s="41"/>
      <c r="P510">
        <v>1</v>
      </c>
      <c r="Q510" t="s">
        <v>174</v>
      </c>
    </row>
    <row r="511" spans="1:17" x14ac:dyDescent="0.35">
      <c r="A511" s="4">
        <v>3477</v>
      </c>
      <c r="B511" s="5">
        <v>38644</v>
      </c>
      <c r="C511" s="5">
        <v>43994</v>
      </c>
      <c r="D511" s="4">
        <v>15</v>
      </c>
      <c r="E511" s="6" t="str" cm="1">
        <f t="array" ref="E511">_xlfn.IFS(D511&lt;=5,"Newcomer",AND(D511&gt;=6,D511&lt;=10),"Proficient",D511&gt;10,"Expert")</f>
        <v>Expert</v>
      </c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 t="str" cm="1">
        <f t="array" ref="M511">_xlfn.IFS(L511="Retirement","Voluntary",L511="Resignation","Voluntary",L511="Layoff","InVoluntary")</f>
        <v>InVoluntary</v>
      </c>
      <c r="N511" s="4" t="s">
        <v>26</v>
      </c>
      <c r="O511" s="41"/>
      <c r="P511">
        <v>1</v>
      </c>
      <c r="Q511" t="s">
        <v>174</v>
      </c>
    </row>
    <row r="512" spans="1:17" x14ac:dyDescent="0.35">
      <c r="A512" s="4">
        <v>3481</v>
      </c>
      <c r="B512" s="5">
        <v>33960</v>
      </c>
      <c r="C512" s="5">
        <v>44120</v>
      </c>
      <c r="D512" s="4">
        <v>28</v>
      </c>
      <c r="E512" s="6" t="str" cm="1">
        <f t="array" ref="E512">_xlfn.IFS(D512&lt;=5,"Newcomer",AND(D512&gt;=6,D512&lt;=10),"Proficient",D512&gt;10,"Expert")</f>
        <v>Expert</v>
      </c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 t="str" cm="1">
        <f t="array" ref="M512">_xlfn.IFS(L512="Retirement","Voluntary",L512="Resignation","Voluntary",L512="Layoff","InVoluntary")</f>
        <v>InVoluntary</v>
      </c>
      <c r="N512" s="4" t="s">
        <v>26</v>
      </c>
      <c r="O512" s="41"/>
      <c r="P512">
        <v>1</v>
      </c>
      <c r="Q512" t="s">
        <v>174</v>
      </c>
    </row>
    <row r="513" spans="1:17" x14ac:dyDescent="0.35">
      <c r="A513" s="4">
        <v>3482</v>
      </c>
      <c r="B513" s="5">
        <v>33844</v>
      </c>
      <c r="C513" s="5">
        <v>44140</v>
      </c>
      <c r="D513" s="4">
        <v>28</v>
      </c>
      <c r="E513" s="6" t="str" cm="1">
        <f t="array" ref="E513">_xlfn.IFS(D513&lt;=5,"Newcomer",AND(D513&gt;=6,D513&lt;=10),"Proficient",D513&gt;10,"Expert")</f>
        <v>Expert</v>
      </c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 t="str" cm="1">
        <f t="array" ref="M513">_xlfn.IFS(L513="Retirement","Voluntary",L513="Resignation","Voluntary",L513="Layoff","InVoluntary")</f>
        <v>InVoluntary</v>
      </c>
      <c r="N513" s="4" t="s">
        <v>26</v>
      </c>
      <c r="O513" s="41"/>
      <c r="P513">
        <v>1</v>
      </c>
      <c r="Q513" t="s">
        <v>174</v>
      </c>
    </row>
    <row r="514" spans="1:17" x14ac:dyDescent="0.35">
      <c r="A514" s="4">
        <v>3484</v>
      </c>
      <c r="B514" s="5">
        <v>36438</v>
      </c>
      <c r="C514" s="5">
        <v>43967</v>
      </c>
      <c r="D514" s="4">
        <v>21</v>
      </c>
      <c r="E514" s="6" t="str" cm="1">
        <f t="array" ref="E514">_xlfn.IFS(D514&lt;=5,"Newcomer",AND(D514&gt;=6,D514&lt;=10),"Proficient",D514&gt;10,"Expert")</f>
        <v>Expert</v>
      </c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 t="str" cm="1">
        <f t="array" ref="M514">_xlfn.IFS(L514="Retirement","Voluntary",L514="Resignation","Voluntary",L514="Layoff","InVoluntary")</f>
        <v>InVoluntary</v>
      </c>
      <c r="N514" s="4" t="s">
        <v>26</v>
      </c>
      <c r="O514" s="41"/>
      <c r="P514">
        <v>1</v>
      </c>
      <c r="Q514" t="s">
        <v>174</v>
      </c>
    </row>
    <row r="515" spans="1:17" x14ac:dyDescent="0.35">
      <c r="A515" s="4">
        <v>3492</v>
      </c>
      <c r="B515" s="5">
        <v>40871</v>
      </c>
      <c r="C515" s="5">
        <v>44102</v>
      </c>
      <c r="D515" s="4">
        <v>9</v>
      </c>
      <c r="E515" s="6" t="str" cm="1">
        <f t="array" ref="E515">_xlfn.IFS(D515&lt;=5,"Newcomer",AND(D515&gt;=6,D515&lt;=10),"Proficient",D515&gt;10,"Expert")</f>
        <v>Proficient</v>
      </c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 t="str" cm="1">
        <f t="array" ref="M515">_xlfn.IFS(L515="Retirement","Voluntary",L515="Resignation","Voluntary",L515="Layoff","InVoluntary")</f>
        <v>InVoluntary</v>
      </c>
      <c r="N515" s="4" t="s">
        <v>26</v>
      </c>
      <c r="O515" s="41"/>
      <c r="P515">
        <v>1</v>
      </c>
      <c r="Q515" t="s">
        <v>174</v>
      </c>
    </row>
    <row r="516" spans="1:17" x14ac:dyDescent="0.35">
      <c r="A516" s="4">
        <v>3503</v>
      </c>
      <c r="B516" s="5">
        <v>40918</v>
      </c>
      <c r="C516" s="5">
        <v>43887</v>
      </c>
      <c r="D516" s="4">
        <v>8</v>
      </c>
      <c r="E516" s="6" t="str" cm="1">
        <f t="array" ref="E516">_xlfn.IFS(D516&lt;=5,"Newcomer",AND(D516&gt;=6,D516&lt;=10),"Proficient",D516&gt;10,"Expert")</f>
        <v>Proficient</v>
      </c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 t="str" cm="1">
        <f t="array" ref="M516">_xlfn.IFS(L516="Retirement","Voluntary",L516="Resignation","Voluntary",L516="Layoff","InVoluntary")</f>
        <v>InVoluntary</v>
      </c>
      <c r="N516" s="4" t="s">
        <v>26</v>
      </c>
      <c r="O516" s="41"/>
      <c r="P516">
        <v>1</v>
      </c>
      <c r="Q516" t="s">
        <v>174</v>
      </c>
    </row>
    <row r="517" spans="1:17" x14ac:dyDescent="0.35">
      <c r="A517" s="4">
        <v>3506</v>
      </c>
      <c r="B517" s="5">
        <v>35620</v>
      </c>
      <c r="C517" s="5">
        <v>43914</v>
      </c>
      <c r="D517" s="4">
        <v>23</v>
      </c>
      <c r="E517" s="6" t="str" cm="1">
        <f t="array" ref="E517">_xlfn.IFS(D517&lt;=5,"Newcomer",AND(D517&gt;=6,D517&lt;=10),"Proficient",D517&gt;10,"Expert")</f>
        <v>Expert</v>
      </c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 t="str" cm="1">
        <f t="array" ref="M517">_xlfn.IFS(L517="Retirement","Voluntary",L517="Resignation","Voluntary",L517="Layoff","InVoluntary")</f>
        <v>InVoluntary</v>
      </c>
      <c r="N517" s="4" t="s">
        <v>26</v>
      </c>
      <c r="O517" s="41"/>
      <c r="P517">
        <v>1</v>
      </c>
      <c r="Q517" t="s">
        <v>174</v>
      </c>
    </row>
    <row r="518" spans="1:17" x14ac:dyDescent="0.35">
      <c r="A518" s="4">
        <v>3509</v>
      </c>
      <c r="B518" s="5">
        <v>41949</v>
      </c>
      <c r="C518" s="5">
        <v>43843</v>
      </c>
      <c r="D518" s="4">
        <v>6</v>
      </c>
      <c r="E518" s="6" t="str" cm="1">
        <f t="array" ref="E518">_xlfn.IFS(D518&lt;=5,"Newcomer",AND(D518&gt;=6,D518&lt;=10),"Proficient",D518&gt;10,"Expert")</f>
        <v>Proficient</v>
      </c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 t="str" cm="1">
        <f t="array" ref="M518">_xlfn.IFS(L518="Retirement","Voluntary",L518="Resignation","Voluntary",L518="Layoff","InVoluntary")</f>
        <v>InVoluntary</v>
      </c>
      <c r="N518" s="4" t="s">
        <v>26</v>
      </c>
      <c r="O518" s="41"/>
      <c r="P518">
        <v>1</v>
      </c>
      <c r="Q518" t="s">
        <v>174</v>
      </c>
    </row>
    <row r="519" spans="1:17" x14ac:dyDescent="0.35">
      <c r="A519" s="4">
        <v>3511</v>
      </c>
      <c r="B519" s="5">
        <v>41899</v>
      </c>
      <c r="C519" s="5">
        <v>44096</v>
      </c>
      <c r="D519" s="4">
        <v>6</v>
      </c>
      <c r="E519" s="6" t="str" cm="1">
        <f t="array" ref="E519">_xlfn.IFS(D519&lt;=5,"Newcomer",AND(D519&gt;=6,D519&lt;=10),"Proficient",D519&gt;10,"Expert")</f>
        <v>Proficient</v>
      </c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 t="str" cm="1">
        <f t="array" ref="M519">_xlfn.IFS(L519="Retirement","Voluntary",L519="Resignation","Voluntary",L519="Layoff","InVoluntary")</f>
        <v>InVoluntary</v>
      </c>
      <c r="N519" s="4" t="s">
        <v>26</v>
      </c>
      <c r="O519" s="41"/>
      <c r="P519">
        <v>1</v>
      </c>
      <c r="Q519" t="s">
        <v>174</v>
      </c>
    </row>
    <row r="520" spans="1:17" x14ac:dyDescent="0.35">
      <c r="A520" s="4">
        <v>3512</v>
      </c>
      <c r="B520" s="5">
        <v>39685</v>
      </c>
      <c r="C520" s="5">
        <v>43952</v>
      </c>
      <c r="D520" s="4">
        <v>12</v>
      </c>
      <c r="E520" s="6" t="str" cm="1">
        <f t="array" ref="E520">_xlfn.IFS(D520&lt;=5,"Newcomer",AND(D520&gt;=6,D520&lt;=10),"Proficient",D520&gt;10,"Expert")</f>
        <v>Expert</v>
      </c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 t="str" cm="1">
        <f t="array" ref="M520">_xlfn.IFS(L520="Retirement","Voluntary",L520="Resignation","Voluntary",L520="Layoff","InVoluntary")</f>
        <v>InVoluntary</v>
      </c>
      <c r="N520" s="4" t="s">
        <v>26</v>
      </c>
      <c r="O520" s="41"/>
      <c r="P520">
        <v>1</v>
      </c>
      <c r="Q520" t="s">
        <v>174</v>
      </c>
    </row>
    <row r="521" spans="1:17" x14ac:dyDescent="0.35">
      <c r="A521" s="4">
        <v>3519</v>
      </c>
      <c r="B521" s="5">
        <v>32985</v>
      </c>
      <c r="C521" s="5">
        <v>44121</v>
      </c>
      <c r="D521" s="4">
        <v>30</v>
      </c>
      <c r="E521" s="6" t="str" cm="1">
        <f t="array" ref="E521">_xlfn.IFS(D521&lt;=5,"Newcomer",AND(D521&gt;=6,D521&lt;=10),"Proficient",D521&gt;10,"Expert")</f>
        <v>Expert</v>
      </c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 t="str" cm="1">
        <f t="array" ref="M521">_xlfn.IFS(L521="Retirement","Voluntary",L521="Resignation","Voluntary",L521="Layoff","InVoluntary")</f>
        <v>InVoluntary</v>
      </c>
      <c r="N521" s="4" t="s">
        <v>26</v>
      </c>
      <c r="O521" s="41"/>
      <c r="P521">
        <v>1</v>
      </c>
      <c r="Q521" t="s">
        <v>174</v>
      </c>
    </row>
    <row r="522" spans="1:17" x14ac:dyDescent="0.35">
      <c r="A522" s="4">
        <v>3520</v>
      </c>
      <c r="B522" s="5">
        <v>33234</v>
      </c>
      <c r="C522" s="5">
        <v>43833</v>
      </c>
      <c r="D522" s="4">
        <v>30</v>
      </c>
      <c r="E522" s="6" t="str" cm="1">
        <f t="array" ref="E522">_xlfn.IFS(D522&lt;=5,"Newcomer",AND(D522&gt;=6,D522&lt;=10),"Proficient",D522&gt;10,"Expert")</f>
        <v>Expert</v>
      </c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 t="str" cm="1">
        <f t="array" ref="M522">_xlfn.IFS(L522="Retirement","Voluntary",L522="Resignation","Voluntary",L522="Layoff","InVoluntary")</f>
        <v>InVoluntary</v>
      </c>
      <c r="N522" s="4" t="s">
        <v>26</v>
      </c>
      <c r="O522" s="41"/>
      <c r="P522">
        <v>1</v>
      </c>
      <c r="Q522" t="s">
        <v>174</v>
      </c>
    </row>
    <row r="523" spans="1:17" x14ac:dyDescent="0.35">
      <c r="A523" s="4">
        <v>3521</v>
      </c>
      <c r="B523" s="5">
        <v>40919</v>
      </c>
      <c r="C523" s="5">
        <v>44019</v>
      </c>
      <c r="D523" s="4">
        <v>8</v>
      </c>
      <c r="E523" s="6" t="str" cm="1">
        <f t="array" ref="E523">_xlfn.IFS(D523&lt;=5,"Newcomer",AND(D523&gt;=6,D523&lt;=10),"Proficient",D523&gt;10,"Expert")</f>
        <v>Proficient</v>
      </c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 t="str" cm="1">
        <f t="array" ref="M523">_xlfn.IFS(L523="Retirement","Voluntary",L523="Resignation","Voluntary",L523="Layoff","InVoluntary")</f>
        <v>InVoluntary</v>
      </c>
      <c r="N523" s="4" t="s">
        <v>26</v>
      </c>
      <c r="O523" s="41"/>
      <c r="P523">
        <v>1</v>
      </c>
      <c r="Q523" t="s">
        <v>174</v>
      </c>
    </row>
    <row r="524" spans="1:17" x14ac:dyDescent="0.35">
      <c r="A524" s="4">
        <v>3541</v>
      </c>
      <c r="B524" s="5">
        <v>42112</v>
      </c>
      <c r="C524" s="5">
        <v>44093</v>
      </c>
      <c r="D524" s="4">
        <v>5</v>
      </c>
      <c r="E524" s="6" t="str" cm="1">
        <f t="array" ref="E524">_xlfn.IFS(D524&lt;=5,"Newcomer",AND(D524&gt;=6,D524&lt;=10),"Proficient",D524&gt;10,"Expert")</f>
        <v>Newcomer</v>
      </c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 t="str" cm="1">
        <f t="array" ref="M524">_xlfn.IFS(L524="Retirement","Voluntary",L524="Resignation","Voluntary",L524="Layoff","InVoluntary")</f>
        <v>InVoluntary</v>
      </c>
      <c r="N524" s="4" t="s">
        <v>26</v>
      </c>
      <c r="O524" s="41"/>
      <c r="P524">
        <v>1</v>
      </c>
      <c r="Q524" t="s">
        <v>174</v>
      </c>
    </row>
    <row r="525" spans="1:17" x14ac:dyDescent="0.35">
      <c r="A525" s="4">
        <v>3543</v>
      </c>
      <c r="B525" s="5">
        <v>34582</v>
      </c>
      <c r="C525" s="5">
        <v>44193</v>
      </c>
      <c r="D525" s="4">
        <v>26</v>
      </c>
      <c r="E525" s="6" t="str" cm="1">
        <f t="array" ref="E525">_xlfn.IFS(D525&lt;=5,"Newcomer",AND(D525&gt;=6,D525&lt;=10),"Proficient",D525&gt;10,"Expert")</f>
        <v>Expert</v>
      </c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 t="str" cm="1">
        <f t="array" ref="M525">_xlfn.IFS(L525="Retirement","Voluntary",L525="Resignation","Voluntary",L525="Layoff","InVoluntary")</f>
        <v>InVoluntary</v>
      </c>
      <c r="N525" s="4" t="s">
        <v>26</v>
      </c>
      <c r="O525" s="41"/>
      <c r="P525">
        <v>1</v>
      </c>
      <c r="Q525" t="s">
        <v>174</v>
      </c>
    </row>
    <row r="526" spans="1:17" x14ac:dyDescent="0.35">
      <c r="A526" s="4">
        <v>3554</v>
      </c>
      <c r="B526" s="5">
        <v>35209</v>
      </c>
      <c r="C526" s="5">
        <v>44003</v>
      </c>
      <c r="D526" s="4">
        <v>24</v>
      </c>
      <c r="E526" s="6" t="str" cm="1">
        <f t="array" ref="E526">_xlfn.IFS(D526&lt;=5,"Newcomer",AND(D526&gt;=6,D526&lt;=10),"Proficient",D526&gt;10,"Expert")</f>
        <v>Expert</v>
      </c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 t="str" cm="1">
        <f t="array" ref="M526">_xlfn.IFS(L526="Retirement","Voluntary",L526="Resignation","Voluntary",L526="Layoff","InVoluntary")</f>
        <v>InVoluntary</v>
      </c>
      <c r="N526" s="4" t="s">
        <v>26</v>
      </c>
      <c r="O526" s="41"/>
      <c r="P526">
        <v>1</v>
      </c>
      <c r="Q526" t="s">
        <v>174</v>
      </c>
    </row>
    <row r="527" spans="1:17" x14ac:dyDescent="0.35">
      <c r="A527" s="4">
        <v>3556</v>
      </c>
      <c r="B527" s="5">
        <v>37818</v>
      </c>
      <c r="C527" s="5">
        <v>44167</v>
      </c>
      <c r="D527" s="4">
        <v>17</v>
      </c>
      <c r="E527" s="6" t="str" cm="1">
        <f t="array" ref="E527">_xlfn.IFS(D527&lt;=5,"Newcomer",AND(D527&gt;=6,D527&lt;=10),"Proficient",D527&gt;10,"Expert")</f>
        <v>Expert</v>
      </c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 t="str" cm="1">
        <f t="array" ref="M527">_xlfn.IFS(L527="Retirement","Voluntary",L527="Resignation","Voluntary",L527="Layoff","InVoluntary")</f>
        <v>InVoluntary</v>
      </c>
      <c r="N527" s="4" t="s">
        <v>26</v>
      </c>
      <c r="O527" s="41"/>
      <c r="P527">
        <v>1</v>
      </c>
      <c r="Q527" t="s">
        <v>174</v>
      </c>
    </row>
    <row r="528" spans="1:17" x14ac:dyDescent="0.35">
      <c r="A528" s="4">
        <v>3561</v>
      </c>
      <c r="B528" s="5">
        <v>38759</v>
      </c>
      <c r="C528" s="5">
        <v>44106</v>
      </c>
      <c r="D528" s="4">
        <v>14</v>
      </c>
      <c r="E528" s="6" t="str" cm="1">
        <f t="array" ref="E528">_xlfn.IFS(D528&lt;=5,"Newcomer",AND(D528&gt;=6,D528&lt;=10),"Proficient",D528&gt;10,"Expert")</f>
        <v>Expert</v>
      </c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 t="str" cm="1">
        <f t="array" ref="M528">_xlfn.IFS(L528="Retirement","Voluntary",L528="Resignation","Voluntary",L528="Layoff","InVoluntary")</f>
        <v>InVoluntary</v>
      </c>
      <c r="N528" s="4" t="s">
        <v>26</v>
      </c>
      <c r="O528" s="41"/>
      <c r="P528">
        <v>1</v>
      </c>
      <c r="Q528" t="s">
        <v>174</v>
      </c>
    </row>
    <row r="529" spans="1:17" x14ac:dyDescent="0.35">
      <c r="A529" s="4">
        <v>3566</v>
      </c>
      <c r="B529" s="5">
        <v>39731</v>
      </c>
      <c r="C529" s="5">
        <v>43833</v>
      </c>
      <c r="D529" s="4">
        <v>12</v>
      </c>
      <c r="E529" s="6" t="str" cm="1">
        <f t="array" ref="E529">_xlfn.IFS(D529&lt;=5,"Newcomer",AND(D529&gt;=6,D529&lt;=10),"Proficient",D529&gt;10,"Expert")</f>
        <v>Expert</v>
      </c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 t="str" cm="1">
        <f t="array" ref="M529">_xlfn.IFS(L529="Retirement","Voluntary",L529="Resignation","Voluntary",L529="Layoff","InVoluntary")</f>
        <v>Voluntary</v>
      </c>
      <c r="N529" s="4" t="s">
        <v>26</v>
      </c>
      <c r="O529" s="41"/>
      <c r="P529">
        <v>1</v>
      </c>
      <c r="Q529" t="s">
        <v>173</v>
      </c>
    </row>
    <row r="530" spans="1:17" x14ac:dyDescent="0.35">
      <c r="A530" s="4">
        <v>3570</v>
      </c>
      <c r="B530" s="5">
        <v>41627</v>
      </c>
      <c r="C530" s="5">
        <v>43986</v>
      </c>
      <c r="D530" s="4">
        <v>7</v>
      </c>
      <c r="E530" s="6" t="str" cm="1">
        <f t="array" ref="E530">_xlfn.IFS(D530&lt;=5,"Newcomer",AND(D530&gt;=6,D530&lt;=10),"Proficient",D530&gt;10,"Expert")</f>
        <v>Proficient</v>
      </c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 t="str" cm="1">
        <f t="array" ref="M530">_xlfn.IFS(L530="Retirement","Voluntary",L530="Resignation","Voluntary",L530="Layoff","InVoluntary")</f>
        <v>InVoluntary</v>
      </c>
      <c r="N530" s="4" t="s">
        <v>26</v>
      </c>
      <c r="O530" s="41"/>
      <c r="P530">
        <v>1</v>
      </c>
      <c r="Q530" t="s">
        <v>174</v>
      </c>
    </row>
    <row r="531" spans="1:17" x14ac:dyDescent="0.35">
      <c r="A531" s="4">
        <v>3572</v>
      </c>
      <c r="B531" s="5">
        <v>34396</v>
      </c>
      <c r="C531" s="5">
        <v>44104</v>
      </c>
      <c r="D531" s="4">
        <v>26</v>
      </c>
      <c r="E531" s="6" t="str" cm="1">
        <f t="array" ref="E531">_xlfn.IFS(D531&lt;=5,"Newcomer",AND(D531&gt;=6,D531&lt;=10),"Proficient",D531&gt;10,"Expert")</f>
        <v>Expert</v>
      </c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 t="str" cm="1">
        <f t="array" ref="M531">_xlfn.IFS(L531="Retirement","Voluntary",L531="Resignation","Voluntary",L531="Layoff","InVoluntary")</f>
        <v>Voluntary</v>
      </c>
      <c r="N531" s="4" t="s">
        <v>26</v>
      </c>
      <c r="O531" s="41"/>
      <c r="P531">
        <v>1</v>
      </c>
      <c r="Q531" t="s">
        <v>173</v>
      </c>
    </row>
    <row r="532" spans="1:17" x14ac:dyDescent="0.35">
      <c r="A532" s="4">
        <v>3573</v>
      </c>
      <c r="B532" s="5">
        <v>40549</v>
      </c>
      <c r="C532" s="5">
        <v>44193</v>
      </c>
      <c r="D532" s="4">
        <v>9</v>
      </c>
      <c r="E532" s="6" t="str" cm="1">
        <f t="array" ref="E532">_xlfn.IFS(D532&lt;=5,"Newcomer",AND(D532&gt;=6,D532&lt;=10),"Proficient",D532&gt;10,"Expert")</f>
        <v>Proficient</v>
      </c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 t="str" cm="1">
        <f t="array" ref="M532">_xlfn.IFS(L532="Retirement","Voluntary",L532="Resignation","Voluntary",L532="Layoff","InVoluntary")</f>
        <v>InVoluntary</v>
      </c>
      <c r="N532" s="4" t="s">
        <v>26</v>
      </c>
      <c r="O532" s="41"/>
      <c r="P532">
        <v>1</v>
      </c>
      <c r="Q532" t="s">
        <v>174</v>
      </c>
    </row>
    <row r="533" spans="1:17" x14ac:dyDescent="0.35">
      <c r="A533" s="4">
        <v>3578</v>
      </c>
      <c r="B533" s="5">
        <v>42173</v>
      </c>
      <c r="C533" s="5">
        <v>44051</v>
      </c>
      <c r="D533" s="4">
        <v>5</v>
      </c>
      <c r="E533" s="6" t="str" cm="1">
        <f t="array" ref="E533">_xlfn.IFS(D533&lt;=5,"Newcomer",AND(D533&gt;=6,D533&lt;=10),"Proficient",D533&gt;10,"Expert")</f>
        <v>Newcomer</v>
      </c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 t="str" cm="1">
        <f t="array" ref="M533">_xlfn.IFS(L533="Retirement","Voluntary",L533="Resignation","Voluntary",L533="Layoff","InVoluntary")</f>
        <v>InVoluntary</v>
      </c>
      <c r="N533" s="4" t="s">
        <v>26</v>
      </c>
      <c r="O533" s="41"/>
      <c r="P533">
        <v>1</v>
      </c>
      <c r="Q533" t="s">
        <v>174</v>
      </c>
    </row>
    <row r="534" spans="1:17" x14ac:dyDescent="0.35">
      <c r="A534" s="4">
        <v>3585</v>
      </c>
      <c r="B534" s="5">
        <v>33752</v>
      </c>
      <c r="C534" s="5">
        <v>44183</v>
      </c>
      <c r="D534" s="4">
        <v>28</v>
      </c>
      <c r="E534" s="6" t="str" cm="1">
        <f t="array" ref="E534">_xlfn.IFS(D534&lt;=5,"Newcomer",AND(D534&gt;=6,D534&lt;=10),"Proficient",D534&gt;10,"Expert")</f>
        <v>Expert</v>
      </c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 t="str" cm="1">
        <f t="array" ref="M534">_xlfn.IFS(L534="Retirement","Voluntary",L534="Resignation","Voluntary",L534="Layoff","InVoluntary")</f>
        <v>InVoluntary</v>
      </c>
      <c r="N534" s="4" t="s">
        <v>26</v>
      </c>
      <c r="O534" s="41"/>
      <c r="P534">
        <v>1</v>
      </c>
      <c r="Q534" t="s">
        <v>174</v>
      </c>
    </row>
    <row r="535" spans="1:17" x14ac:dyDescent="0.35">
      <c r="A535" s="4">
        <v>3588</v>
      </c>
      <c r="B535" s="5">
        <v>34065</v>
      </c>
      <c r="C535" s="5">
        <v>44153</v>
      </c>
      <c r="D535" s="4">
        <v>27</v>
      </c>
      <c r="E535" s="6" t="str" cm="1">
        <f t="array" ref="E535">_xlfn.IFS(D535&lt;=5,"Newcomer",AND(D535&gt;=6,D535&lt;=10),"Proficient",D535&gt;10,"Expert")</f>
        <v>Expert</v>
      </c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 t="str" cm="1">
        <f t="array" ref="M535">_xlfn.IFS(L535="Retirement","Voluntary",L535="Resignation","Voluntary",L535="Layoff","InVoluntary")</f>
        <v>InVoluntary</v>
      </c>
      <c r="N535" s="4" t="s">
        <v>26</v>
      </c>
      <c r="O535" s="41"/>
      <c r="P535">
        <v>1</v>
      </c>
      <c r="Q535" t="s">
        <v>174</v>
      </c>
    </row>
    <row r="536" spans="1:17" x14ac:dyDescent="0.35">
      <c r="A536" s="4">
        <v>3599</v>
      </c>
      <c r="B536" s="5">
        <v>41136</v>
      </c>
      <c r="C536" s="5">
        <v>44038</v>
      </c>
      <c r="D536" s="4">
        <v>8</v>
      </c>
      <c r="E536" s="6" t="str" cm="1">
        <f t="array" ref="E536">_xlfn.IFS(D536&lt;=5,"Newcomer",AND(D536&gt;=6,D536&lt;=10),"Proficient",D536&gt;10,"Expert")</f>
        <v>Proficient</v>
      </c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 t="str" cm="1">
        <f t="array" ref="M536">_xlfn.IFS(L536="Retirement","Voluntary",L536="Resignation","Voluntary",L536="Layoff","InVoluntary")</f>
        <v>InVoluntary</v>
      </c>
      <c r="N536" s="4" t="s">
        <v>26</v>
      </c>
      <c r="O536" s="41"/>
      <c r="P536">
        <v>1</v>
      </c>
      <c r="Q536" t="s">
        <v>174</v>
      </c>
    </row>
    <row r="537" spans="1:17" x14ac:dyDescent="0.35">
      <c r="A537" s="4">
        <v>3605</v>
      </c>
      <c r="B537" s="5">
        <v>39225</v>
      </c>
      <c r="C537" s="5">
        <v>44014</v>
      </c>
      <c r="D537" s="4">
        <v>13</v>
      </c>
      <c r="E537" s="6" t="str" cm="1">
        <f t="array" ref="E537">_xlfn.IFS(D537&lt;=5,"Newcomer",AND(D537&gt;=6,D537&lt;=10),"Proficient",D537&gt;10,"Expert")</f>
        <v>Expert</v>
      </c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 t="str" cm="1">
        <f t="array" ref="M537">_xlfn.IFS(L537="Retirement","Voluntary",L537="Resignation","Voluntary",L537="Layoff","InVoluntary")</f>
        <v>InVoluntary</v>
      </c>
      <c r="N537" s="4" t="s">
        <v>26</v>
      </c>
      <c r="O537" s="41"/>
      <c r="P537">
        <v>1</v>
      </c>
      <c r="Q537" t="s">
        <v>174</v>
      </c>
    </row>
    <row r="538" spans="1:17" x14ac:dyDescent="0.35">
      <c r="A538" s="4">
        <v>3611</v>
      </c>
      <c r="B538" s="5">
        <v>34247</v>
      </c>
      <c r="C538" s="5">
        <v>44037</v>
      </c>
      <c r="D538" s="4">
        <v>27</v>
      </c>
      <c r="E538" s="6" t="str" cm="1">
        <f t="array" ref="E538">_xlfn.IFS(D538&lt;=5,"Newcomer",AND(D538&gt;=6,D538&lt;=10),"Proficient",D538&gt;10,"Expert")</f>
        <v>Expert</v>
      </c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 t="str" cm="1">
        <f t="array" ref="M538">_xlfn.IFS(L538="Retirement","Voluntary",L538="Resignation","Voluntary",L538="Layoff","InVoluntary")</f>
        <v>InVoluntary</v>
      </c>
      <c r="N538" s="4" t="s">
        <v>26</v>
      </c>
      <c r="O538" s="41"/>
      <c r="P538">
        <v>1</v>
      </c>
      <c r="Q538" t="s">
        <v>174</v>
      </c>
    </row>
    <row r="539" spans="1:17" x14ac:dyDescent="0.35">
      <c r="A539" s="4">
        <v>3619</v>
      </c>
      <c r="B539" s="5">
        <v>40153</v>
      </c>
      <c r="C539" s="5">
        <v>44090</v>
      </c>
      <c r="D539" s="4">
        <v>11</v>
      </c>
      <c r="E539" s="6" t="str" cm="1">
        <f t="array" ref="E539">_xlfn.IFS(D539&lt;=5,"Newcomer",AND(D539&gt;=6,D539&lt;=10),"Proficient",D539&gt;10,"Expert")</f>
        <v>Expert</v>
      </c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 t="str" cm="1">
        <f t="array" ref="M539">_xlfn.IFS(L539="Retirement","Voluntary",L539="Resignation","Voluntary",L539="Layoff","InVoluntary")</f>
        <v>InVoluntary</v>
      </c>
      <c r="N539" s="4" t="s">
        <v>26</v>
      </c>
      <c r="O539" s="41"/>
      <c r="P539">
        <v>1</v>
      </c>
      <c r="Q539" t="s">
        <v>174</v>
      </c>
    </row>
    <row r="540" spans="1:17" x14ac:dyDescent="0.35">
      <c r="A540" s="4">
        <v>3620</v>
      </c>
      <c r="B540" s="5">
        <v>40177</v>
      </c>
      <c r="C540" s="5">
        <v>43912</v>
      </c>
      <c r="D540" s="4">
        <v>11</v>
      </c>
      <c r="E540" s="6" t="str" cm="1">
        <f t="array" ref="E540">_xlfn.IFS(D540&lt;=5,"Newcomer",AND(D540&gt;=6,D540&lt;=10),"Proficient",D540&gt;10,"Expert")</f>
        <v>Expert</v>
      </c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 t="str" cm="1">
        <f t="array" ref="M540">_xlfn.IFS(L540="Retirement","Voluntary",L540="Resignation","Voluntary",L540="Layoff","InVoluntary")</f>
        <v>InVoluntary</v>
      </c>
      <c r="N540" s="4" t="s">
        <v>26</v>
      </c>
      <c r="O540" s="41"/>
      <c r="P540">
        <v>1</v>
      </c>
      <c r="Q540" t="s">
        <v>174</v>
      </c>
    </row>
    <row r="541" spans="1:17" x14ac:dyDescent="0.35">
      <c r="A541" s="4">
        <v>3621</v>
      </c>
      <c r="B541" s="5">
        <v>40579</v>
      </c>
      <c r="C541" s="5">
        <v>43981</v>
      </c>
      <c r="D541" s="4">
        <v>9</v>
      </c>
      <c r="E541" s="6" t="str" cm="1">
        <f t="array" ref="E541">_xlfn.IFS(D541&lt;=5,"Newcomer",AND(D541&gt;=6,D541&lt;=10),"Proficient",D541&gt;10,"Expert")</f>
        <v>Proficient</v>
      </c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 t="str" cm="1">
        <f t="array" ref="M541">_xlfn.IFS(L541="Retirement","Voluntary",L541="Resignation","Voluntary",L541="Layoff","InVoluntary")</f>
        <v>InVoluntary</v>
      </c>
      <c r="N541" s="4" t="s">
        <v>26</v>
      </c>
      <c r="O541" s="41"/>
      <c r="P541">
        <v>1</v>
      </c>
      <c r="Q541" t="s">
        <v>174</v>
      </c>
    </row>
    <row r="542" spans="1:17" x14ac:dyDescent="0.35">
      <c r="A542" s="4">
        <v>3626</v>
      </c>
      <c r="B542" s="5">
        <v>35806</v>
      </c>
      <c r="C542" s="5">
        <v>44033</v>
      </c>
      <c r="D542" s="4">
        <v>22</v>
      </c>
      <c r="E542" s="6" t="str" cm="1">
        <f t="array" ref="E542">_xlfn.IFS(D542&lt;=5,"Newcomer",AND(D542&gt;=6,D542&lt;=10),"Proficient",D542&gt;10,"Expert")</f>
        <v>Expert</v>
      </c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 t="str" cm="1">
        <f t="array" ref="M542">_xlfn.IFS(L542="Retirement","Voluntary",L542="Resignation","Voluntary",L542="Layoff","InVoluntary")</f>
        <v>InVoluntary</v>
      </c>
      <c r="N542" s="4" t="s">
        <v>26</v>
      </c>
      <c r="O542" s="41"/>
      <c r="P542">
        <v>1</v>
      </c>
      <c r="Q542" t="s">
        <v>174</v>
      </c>
    </row>
    <row r="543" spans="1:17" x14ac:dyDescent="0.35">
      <c r="A543" s="4">
        <v>3632</v>
      </c>
      <c r="B543" s="5">
        <v>41442</v>
      </c>
      <c r="C543" s="5">
        <v>43835</v>
      </c>
      <c r="D543" s="4">
        <v>7</v>
      </c>
      <c r="E543" s="6" t="str" cm="1">
        <f t="array" ref="E543">_xlfn.IFS(D543&lt;=5,"Newcomer",AND(D543&gt;=6,D543&lt;=10),"Proficient",D543&gt;10,"Expert")</f>
        <v>Proficient</v>
      </c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 t="str" cm="1">
        <f t="array" ref="M543">_xlfn.IFS(L543="Retirement","Voluntary",L543="Resignation","Voluntary",L543="Layoff","InVoluntary")</f>
        <v>InVoluntary</v>
      </c>
      <c r="N543" s="4" t="s">
        <v>26</v>
      </c>
      <c r="O543" s="41"/>
      <c r="P543">
        <v>1</v>
      </c>
      <c r="Q543" t="s">
        <v>174</v>
      </c>
    </row>
    <row r="544" spans="1:17" x14ac:dyDescent="0.35">
      <c r="A544" s="4">
        <v>3635</v>
      </c>
      <c r="B544" s="5">
        <v>39715</v>
      </c>
      <c r="C544" s="5">
        <v>44127</v>
      </c>
      <c r="D544" s="4">
        <v>12</v>
      </c>
      <c r="E544" s="6" t="str" cm="1">
        <f t="array" ref="E544">_xlfn.IFS(D544&lt;=5,"Newcomer",AND(D544&gt;=6,D544&lt;=10),"Proficient",D544&gt;10,"Expert")</f>
        <v>Expert</v>
      </c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 t="str" cm="1">
        <f t="array" ref="M544">_xlfn.IFS(L544="Retirement","Voluntary",L544="Resignation","Voluntary",L544="Layoff","InVoluntary")</f>
        <v>InVoluntary</v>
      </c>
      <c r="N544" s="4" t="s">
        <v>26</v>
      </c>
      <c r="O544" s="41"/>
      <c r="P544">
        <v>1</v>
      </c>
      <c r="Q544" t="s">
        <v>174</v>
      </c>
    </row>
    <row r="545" spans="1:17" x14ac:dyDescent="0.35">
      <c r="A545" s="4">
        <v>3644</v>
      </c>
      <c r="B545" s="5">
        <v>38302</v>
      </c>
      <c r="C545" s="5">
        <v>44086</v>
      </c>
      <c r="D545" s="4">
        <v>16</v>
      </c>
      <c r="E545" s="6" t="str" cm="1">
        <f t="array" ref="E545">_xlfn.IFS(D545&lt;=5,"Newcomer",AND(D545&gt;=6,D545&lt;=10),"Proficient",D545&gt;10,"Expert")</f>
        <v>Expert</v>
      </c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 t="str" cm="1">
        <f t="array" ref="M545">_xlfn.IFS(L545="Retirement","Voluntary",L545="Resignation","Voluntary",L545="Layoff","InVoluntary")</f>
        <v>InVoluntary</v>
      </c>
      <c r="N545" s="4" t="s">
        <v>26</v>
      </c>
      <c r="O545" s="41"/>
      <c r="P545">
        <v>1</v>
      </c>
      <c r="Q545" t="s">
        <v>174</v>
      </c>
    </row>
    <row r="546" spans="1:17" x14ac:dyDescent="0.35">
      <c r="A546" s="4">
        <v>3647</v>
      </c>
      <c r="B546" s="5">
        <v>38003</v>
      </c>
      <c r="C546" s="5">
        <v>44114</v>
      </c>
      <c r="D546" s="4">
        <v>16</v>
      </c>
      <c r="E546" s="6" t="str" cm="1">
        <f t="array" ref="E546">_xlfn.IFS(D546&lt;=5,"Newcomer",AND(D546&gt;=6,D546&lt;=10),"Proficient",D546&gt;10,"Expert")</f>
        <v>Expert</v>
      </c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 t="str" cm="1">
        <f t="array" ref="M546">_xlfn.IFS(L546="Retirement","Voluntary",L546="Resignation","Voluntary",L546="Layoff","InVoluntary")</f>
        <v>InVoluntary</v>
      </c>
      <c r="N546" s="4" t="s">
        <v>26</v>
      </c>
      <c r="O546" s="41"/>
      <c r="P546">
        <v>1</v>
      </c>
      <c r="Q546" t="s">
        <v>174</v>
      </c>
    </row>
    <row r="547" spans="1:17" x14ac:dyDescent="0.35">
      <c r="A547" s="4">
        <v>3648</v>
      </c>
      <c r="B547" s="5">
        <v>41804</v>
      </c>
      <c r="C547" s="5">
        <v>44184</v>
      </c>
      <c r="D547" s="4">
        <v>6</v>
      </c>
      <c r="E547" s="6" t="str" cm="1">
        <f t="array" ref="E547">_xlfn.IFS(D547&lt;=5,"Newcomer",AND(D547&gt;=6,D547&lt;=10),"Proficient",D547&gt;10,"Expert")</f>
        <v>Proficient</v>
      </c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 t="str" cm="1">
        <f t="array" ref="M547">_xlfn.IFS(L547="Retirement","Voluntary",L547="Resignation","Voluntary",L547="Layoff","InVoluntary")</f>
        <v>InVoluntary</v>
      </c>
      <c r="N547" s="4" t="s">
        <v>26</v>
      </c>
      <c r="O547" s="41"/>
      <c r="P547">
        <v>1</v>
      </c>
      <c r="Q547" t="s">
        <v>174</v>
      </c>
    </row>
    <row r="548" spans="1:17" x14ac:dyDescent="0.35">
      <c r="A548" s="4">
        <v>3653</v>
      </c>
      <c r="B548" s="5">
        <v>36692</v>
      </c>
      <c r="C548" s="5">
        <v>44004</v>
      </c>
      <c r="D548" s="4">
        <v>20</v>
      </c>
      <c r="E548" s="6" t="str" cm="1">
        <f t="array" ref="E548">_xlfn.IFS(D548&lt;=5,"Newcomer",AND(D548&gt;=6,D548&lt;=10),"Proficient",D548&gt;10,"Expert")</f>
        <v>Expert</v>
      </c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 t="str" cm="1">
        <f t="array" ref="M548">_xlfn.IFS(L548="Retirement","Voluntary",L548="Resignation","Voluntary",L548="Layoff","InVoluntary")</f>
        <v>InVoluntary</v>
      </c>
      <c r="N548" s="4" t="s">
        <v>26</v>
      </c>
      <c r="O548" s="41"/>
      <c r="P548">
        <v>1</v>
      </c>
      <c r="Q548" t="s">
        <v>174</v>
      </c>
    </row>
    <row r="549" spans="1:17" x14ac:dyDescent="0.35">
      <c r="A549" s="4">
        <v>3657</v>
      </c>
      <c r="B549" s="5">
        <v>33409</v>
      </c>
      <c r="C549" s="5">
        <v>43903</v>
      </c>
      <c r="D549" s="4">
        <v>29</v>
      </c>
      <c r="E549" s="6" t="str" cm="1">
        <f t="array" ref="E549">_xlfn.IFS(D549&lt;=5,"Newcomer",AND(D549&gt;=6,D549&lt;=10),"Proficient",D549&gt;10,"Expert")</f>
        <v>Expert</v>
      </c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 t="str" cm="1">
        <f t="array" ref="M549">_xlfn.IFS(L549="Retirement","Voluntary",L549="Resignation","Voluntary",L549="Layoff","InVoluntary")</f>
        <v>InVoluntary</v>
      </c>
      <c r="N549" s="4" t="s">
        <v>26</v>
      </c>
      <c r="O549" s="41"/>
      <c r="P549">
        <v>1</v>
      </c>
      <c r="Q549" t="s">
        <v>174</v>
      </c>
    </row>
    <row r="550" spans="1:17" x14ac:dyDescent="0.35">
      <c r="A550" s="4">
        <v>3658</v>
      </c>
      <c r="B550" s="5">
        <v>38383</v>
      </c>
      <c r="C550" s="5">
        <v>44058</v>
      </c>
      <c r="D550" s="4">
        <v>15</v>
      </c>
      <c r="E550" s="6" t="str" cm="1">
        <f t="array" ref="E550">_xlfn.IFS(D550&lt;=5,"Newcomer",AND(D550&gt;=6,D550&lt;=10),"Proficient",D550&gt;10,"Expert")</f>
        <v>Expert</v>
      </c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 t="str" cm="1">
        <f t="array" ref="M550">_xlfn.IFS(L550="Retirement","Voluntary",L550="Resignation","Voluntary",L550="Layoff","InVoluntary")</f>
        <v>InVoluntary</v>
      </c>
      <c r="N550" s="4" t="s">
        <v>26</v>
      </c>
      <c r="O550" s="41"/>
      <c r="P550">
        <v>1</v>
      </c>
      <c r="Q550" t="s">
        <v>174</v>
      </c>
    </row>
    <row r="551" spans="1:17" x14ac:dyDescent="0.35">
      <c r="A551" s="4">
        <v>3659</v>
      </c>
      <c r="B551" s="5">
        <v>41876</v>
      </c>
      <c r="C551" s="5">
        <v>44173</v>
      </c>
      <c r="D551" s="4">
        <v>6</v>
      </c>
      <c r="E551" s="6" t="str" cm="1">
        <f t="array" ref="E551">_xlfn.IFS(D551&lt;=5,"Newcomer",AND(D551&gt;=6,D551&lt;=10),"Proficient",D551&gt;10,"Expert")</f>
        <v>Proficient</v>
      </c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 t="str" cm="1">
        <f t="array" ref="M551">_xlfn.IFS(L551="Retirement","Voluntary",L551="Resignation","Voluntary",L551="Layoff","InVoluntary")</f>
        <v>InVoluntary</v>
      </c>
      <c r="N551" s="4" t="s">
        <v>26</v>
      </c>
      <c r="O551" s="41"/>
      <c r="P551">
        <v>1</v>
      </c>
      <c r="Q551" t="s">
        <v>174</v>
      </c>
    </row>
    <row r="552" spans="1:17" x14ac:dyDescent="0.35">
      <c r="A552" s="4">
        <v>3660</v>
      </c>
      <c r="B552" s="5">
        <v>34614</v>
      </c>
      <c r="C552" s="5">
        <v>43881</v>
      </c>
      <c r="D552" s="4">
        <v>26</v>
      </c>
      <c r="E552" s="6" t="str" cm="1">
        <f t="array" ref="E552">_xlfn.IFS(D552&lt;=5,"Newcomer",AND(D552&gt;=6,D552&lt;=10),"Proficient",D552&gt;10,"Expert")</f>
        <v>Expert</v>
      </c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 t="str" cm="1">
        <f t="array" ref="M552">_xlfn.IFS(L552="Retirement","Voluntary",L552="Resignation","Voluntary",L552="Layoff","InVoluntary")</f>
        <v>InVoluntary</v>
      </c>
      <c r="N552" s="4" t="s">
        <v>26</v>
      </c>
      <c r="O552" s="41"/>
      <c r="P552">
        <v>1</v>
      </c>
      <c r="Q552" t="s">
        <v>174</v>
      </c>
    </row>
    <row r="553" spans="1:17" x14ac:dyDescent="0.35">
      <c r="A553" s="4">
        <v>3661</v>
      </c>
      <c r="B553" s="5">
        <v>38075</v>
      </c>
      <c r="C553" s="5">
        <v>43983</v>
      </c>
      <c r="D553" s="4">
        <v>16</v>
      </c>
      <c r="E553" s="6" t="str" cm="1">
        <f t="array" ref="E553">_xlfn.IFS(D553&lt;=5,"Newcomer",AND(D553&gt;=6,D553&lt;=10),"Proficient",D553&gt;10,"Expert")</f>
        <v>Expert</v>
      </c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 t="str" cm="1">
        <f t="array" ref="M553">_xlfn.IFS(L553="Retirement","Voluntary",L553="Resignation","Voluntary",L553="Layoff","InVoluntary")</f>
        <v>InVoluntary</v>
      </c>
      <c r="N553" s="4" t="s">
        <v>26</v>
      </c>
      <c r="O553" s="41"/>
      <c r="P553">
        <v>1</v>
      </c>
      <c r="Q553" t="s">
        <v>174</v>
      </c>
    </row>
    <row r="554" spans="1:17" x14ac:dyDescent="0.35">
      <c r="A554" s="4">
        <v>3662</v>
      </c>
      <c r="B554" s="5">
        <v>39860</v>
      </c>
      <c r="C554" s="5">
        <v>44124</v>
      </c>
      <c r="D554" s="4">
        <v>11</v>
      </c>
      <c r="E554" s="6" t="str" cm="1">
        <f t="array" ref="E554">_xlfn.IFS(D554&lt;=5,"Newcomer",AND(D554&gt;=6,D554&lt;=10),"Proficient",D554&gt;10,"Expert")</f>
        <v>Expert</v>
      </c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 t="str" cm="1">
        <f t="array" ref="M554">_xlfn.IFS(L554="Retirement","Voluntary",L554="Resignation","Voluntary",L554="Layoff","InVoluntary")</f>
        <v>InVoluntary</v>
      </c>
      <c r="N554" s="4" t="s">
        <v>26</v>
      </c>
      <c r="O554" s="41"/>
      <c r="P554">
        <v>1</v>
      </c>
      <c r="Q554" t="s">
        <v>174</v>
      </c>
    </row>
    <row r="555" spans="1:17" x14ac:dyDescent="0.35">
      <c r="A555" s="4">
        <v>3663</v>
      </c>
      <c r="B555" s="5">
        <v>35482</v>
      </c>
      <c r="C555" s="5">
        <v>43982</v>
      </c>
      <c r="D555" s="4">
        <v>23</v>
      </c>
      <c r="E555" s="6" t="str" cm="1">
        <f t="array" ref="E555">_xlfn.IFS(D555&lt;=5,"Newcomer",AND(D555&gt;=6,D555&lt;=10),"Proficient",D555&gt;10,"Expert")</f>
        <v>Expert</v>
      </c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 t="str" cm="1">
        <f t="array" ref="M555">_xlfn.IFS(L555="Retirement","Voluntary",L555="Resignation","Voluntary",L555="Layoff","InVoluntary")</f>
        <v>InVoluntary</v>
      </c>
      <c r="N555" s="4" t="s">
        <v>26</v>
      </c>
      <c r="O555" s="41"/>
      <c r="P555">
        <v>1</v>
      </c>
      <c r="Q555" t="s">
        <v>174</v>
      </c>
    </row>
    <row r="556" spans="1:17" x14ac:dyDescent="0.35">
      <c r="A556" s="4">
        <v>3664</v>
      </c>
      <c r="B556" s="5">
        <v>33057</v>
      </c>
      <c r="C556" s="5">
        <v>44036</v>
      </c>
      <c r="D556" s="4">
        <v>30</v>
      </c>
      <c r="E556" s="6" t="str" cm="1">
        <f t="array" ref="E556">_xlfn.IFS(D556&lt;=5,"Newcomer",AND(D556&gt;=6,D556&lt;=10),"Proficient",D556&gt;10,"Expert")</f>
        <v>Expert</v>
      </c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 t="str" cm="1">
        <f t="array" ref="M556">_xlfn.IFS(L556="Retirement","Voluntary",L556="Resignation","Voluntary",L556="Layoff","InVoluntary")</f>
        <v>InVoluntary</v>
      </c>
      <c r="N556" s="4" t="s">
        <v>26</v>
      </c>
      <c r="O556" s="41"/>
      <c r="P556">
        <v>1</v>
      </c>
      <c r="Q556" t="s">
        <v>174</v>
      </c>
    </row>
    <row r="557" spans="1:17" x14ac:dyDescent="0.35">
      <c r="A557" s="4">
        <v>3680</v>
      </c>
      <c r="B557" s="5">
        <v>39947</v>
      </c>
      <c r="C557" s="5">
        <v>44022</v>
      </c>
      <c r="D557" s="4">
        <v>11</v>
      </c>
      <c r="E557" s="6" t="str" cm="1">
        <f t="array" ref="E557">_xlfn.IFS(D557&lt;=5,"Newcomer",AND(D557&gt;=6,D557&lt;=10),"Proficient",D557&gt;10,"Expert")</f>
        <v>Expert</v>
      </c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 t="str" cm="1">
        <f t="array" ref="M557">_xlfn.IFS(L557="Retirement","Voluntary",L557="Resignation","Voluntary",L557="Layoff","InVoluntary")</f>
        <v>InVoluntary</v>
      </c>
      <c r="N557" s="4" t="s">
        <v>26</v>
      </c>
      <c r="O557" s="41"/>
      <c r="P557">
        <v>1</v>
      </c>
      <c r="Q557" t="s">
        <v>174</v>
      </c>
    </row>
    <row r="558" spans="1:17" x14ac:dyDescent="0.35">
      <c r="A558" s="4">
        <v>3683</v>
      </c>
      <c r="B558" s="5">
        <v>33211</v>
      </c>
      <c r="C558" s="5">
        <v>44078</v>
      </c>
      <c r="D558" s="4">
        <v>30</v>
      </c>
      <c r="E558" s="6" t="str" cm="1">
        <f t="array" ref="E558">_xlfn.IFS(D558&lt;=5,"Newcomer",AND(D558&gt;=6,D558&lt;=10),"Proficient",D558&gt;10,"Expert")</f>
        <v>Expert</v>
      </c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 t="str" cm="1">
        <f t="array" ref="M558">_xlfn.IFS(L558="Retirement","Voluntary",L558="Resignation","Voluntary",L558="Layoff","InVoluntary")</f>
        <v>InVoluntary</v>
      </c>
      <c r="N558" s="4" t="s">
        <v>26</v>
      </c>
      <c r="O558" s="41"/>
      <c r="P558">
        <v>1</v>
      </c>
      <c r="Q558" t="s">
        <v>174</v>
      </c>
    </row>
    <row r="559" spans="1:17" x14ac:dyDescent="0.35">
      <c r="A559" s="4">
        <v>3686</v>
      </c>
      <c r="B559" s="5">
        <v>35596</v>
      </c>
      <c r="C559" s="5">
        <v>44189</v>
      </c>
      <c r="D559" s="4">
        <v>23</v>
      </c>
      <c r="E559" s="6" t="str" cm="1">
        <f t="array" ref="E559">_xlfn.IFS(D559&lt;=5,"Newcomer",AND(D559&gt;=6,D559&lt;=10),"Proficient",D559&gt;10,"Expert")</f>
        <v>Expert</v>
      </c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 t="str" cm="1">
        <f t="array" ref="M559">_xlfn.IFS(L559="Retirement","Voluntary",L559="Resignation","Voluntary",L559="Layoff","InVoluntary")</f>
        <v>InVoluntary</v>
      </c>
      <c r="N559" s="4" t="s">
        <v>26</v>
      </c>
      <c r="O559" s="41"/>
      <c r="P559">
        <v>1</v>
      </c>
      <c r="Q559" t="s">
        <v>174</v>
      </c>
    </row>
    <row r="560" spans="1:17" x14ac:dyDescent="0.35">
      <c r="A560" s="4">
        <v>3689</v>
      </c>
      <c r="B560" s="5">
        <v>35747</v>
      </c>
      <c r="C560" s="5">
        <v>43981</v>
      </c>
      <c r="D560" s="4">
        <v>23</v>
      </c>
      <c r="E560" s="6" t="str" cm="1">
        <f t="array" ref="E560">_xlfn.IFS(D560&lt;=5,"Newcomer",AND(D560&gt;=6,D560&lt;=10),"Proficient",D560&gt;10,"Expert")</f>
        <v>Expert</v>
      </c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 t="str" cm="1">
        <f t="array" ref="M560">_xlfn.IFS(L560="Retirement","Voluntary",L560="Resignation","Voluntary",L560="Layoff","InVoluntary")</f>
        <v>InVoluntary</v>
      </c>
      <c r="N560" s="4" t="s">
        <v>26</v>
      </c>
      <c r="O560" s="41"/>
      <c r="P560">
        <v>1</v>
      </c>
      <c r="Q560" t="s">
        <v>174</v>
      </c>
    </row>
    <row r="561" spans="1:17" x14ac:dyDescent="0.35">
      <c r="A561" s="4">
        <v>3690</v>
      </c>
      <c r="B561" s="5">
        <v>35528</v>
      </c>
      <c r="C561" s="5">
        <v>44015</v>
      </c>
      <c r="D561" s="4">
        <v>23</v>
      </c>
      <c r="E561" s="6" t="str" cm="1">
        <f t="array" ref="E561">_xlfn.IFS(D561&lt;=5,"Newcomer",AND(D561&gt;=6,D561&lt;=10),"Proficient",D561&gt;10,"Expert")</f>
        <v>Expert</v>
      </c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 t="str" cm="1">
        <f t="array" ref="M561">_xlfn.IFS(L561="Retirement","Voluntary",L561="Resignation","Voluntary",L561="Layoff","InVoluntary")</f>
        <v>InVoluntary</v>
      </c>
      <c r="N561" s="4" t="s">
        <v>26</v>
      </c>
      <c r="O561" s="41"/>
      <c r="P561">
        <v>1</v>
      </c>
      <c r="Q561" t="s">
        <v>174</v>
      </c>
    </row>
    <row r="562" spans="1:17" x14ac:dyDescent="0.35">
      <c r="A562" s="4">
        <v>3692</v>
      </c>
      <c r="B562" s="5">
        <v>34020</v>
      </c>
      <c r="C562" s="5">
        <v>44070</v>
      </c>
      <c r="D562" s="4">
        <v>27</v>
      </c>
      <c r="E562" s="6" t="str" cm="1">
        <f t="array" ref="E562">_xlfn.IFS(D562&lt;=5,"Newcomer",AND(D562&gt;=6,D562&lt;=10),"Proficient",D562&gt;10,"Expert")</f>
        <v>Expert</v>
      </c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 t="str" cm="1">
        <f t="array" ref="M562">_xlfn.IFS(L562="Retirement","Voluntary",L562="Resignation","Voluntary",L562="Layoff","InVoluntary")</f>
        <v>InVoluntary</v>
      </c>
      <c r="N562" s="4" t="s">
        <v>26</v>
      </c>
      <c r="O562" s="41"/>
      <c r="P562">
        <v>1</v>
      </c>
      <c r="Q562" t="s">
        <v>174</v>
      </c>
    </row>
    <row r="563" spans="1:17" x14ac:dyDescent="0.35">
      <c r="A563" s="4">
        <v>3698</v>
      </c>
      <c r="B563" s="5">
        <v>34340</v>
      </c>
      <c r="C563" s="5">
        <v>44046</v>
      </c>
      <c r="D563" s="4">
        <v>26</v>
      </c>
      <c r="E563" s="6" t="str" cm="1">
        <f t="array" ref="E563">_xlfn.IFS(D563&lt;=5,"Newcomer",AND(D563&gt;=6,D563&lt;=10),"Proficient",D563&gt;10,"Expert")</f>
        <v>Expert</v>
      </c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 t="str" cm="1">
        <f t="array" ref="M563">_xlfn.IFS(L563="Retirement","Voluntary",L563="Resignation","Voluntary",L563="Layoff","InVoluntary")</f>
        <v>InVoluntary</v>
      </c>
      <c r="N563" s="4" t="s">
        <v>26</v>
      </c>
      <c r="O563" s="41"/>
      <c r="P563">
        <v>1</v>
      </c>
      <c r="Q563" t="s">
        <v>174</v>
      </c>
    </row>
    <row r="564" spans="1:17" x14ac:dyDescent="0.35">
      <c r="A564" s="4">
        <v>3703</v>
      </c>
      <c r="B564" s="5">
        <v>35272</v>
      </c>
      <c r="C564" s="5">
        <v>44134</v>
      </c>
      <c r="D564" s="4">
        <v>24</v>
      </c>
      <c r="E564" s="6" t="str" cm="1">
        <f t="array" ref="E564">_xlfn.IFS(D564&lt;=5,"Newcomer",AND(D564&gt;=6,D564&lt;=10),"Proficient",D564&gt;10,"Expert")</f>
        <v>Expert</v>
      </c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 t="str" cm="1">
        <f t="array" ref="M564">_xlfn.IFS(L564="Retirement","Voluntary",L564="Resignation","Voluntary",L564="Layoff","InVoluntary")</f>
        <v>InVoluntary</v>
      </c>
      <c r="N564" s="4" t="s">
        <v>26</v>
      </c>
      <c r="O564" s="41"/>
      <c r="P564">
        <v>1</v>
      </c>
      <c r="Q564" t="s">
        <v>174</v>
      </c>
    </row>
    <row r="565" spans="1:17" x14ac:dyDescent="0.35">
      <c r="A565" s="4">
        <v>3706</v>
      </c>
      <c r="B565" s="5">
        <v>34931</v>
      </c>
      <c r="C565" s="5">
        <v>44124</v>
      </c>
      <c r="D565" s="4">
        <v>25</v>
      </c>
      <c r="E565" s="6" t="str" cm="1">
        <f t="array" ref="E565">_xlfn.IFS(D565&lt;=5,"Newcomer",AND(D565&gt;=6,D565&lt;=10),"Proficient",D565&gt;10,"Expert")</f>
        <v>Expert</v>
      </c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 t="str" cm="1">
        <f t="array" ref="M565">_xlfn.IFS(L565="Retirement","Voluntary",L565="Resignation","Voluntary",L565="Layoff","InVoluntary")</f>
        <v>InVoluntary</v>
      </c>
      <c r="N565" s="4" t="s">
        <v>26</v>
      </c>
      <c r="O565" s="41"/>
      <c r="P565">
        <v>1</v>
      </c>
      <c r="Q565" t="s">
        <v>174</v>
      </c>
    </row>
    <row r="566" spans="1:17" x14ac:dyDescent="0.35">
      <c r="A566" s="4">
        <v>3711</v>
      </c>
      <c r="B566" s="5">
        <v>39798</v>
      </c>
      <c r="C566" s="5">
        <v>44112</v>
      </c>
      <c r="D566" s="4">
        <v>12</v>
      </c>
      <c r="E566" s="6" t="str" cm="1">
        <f t="array" ref="E566">_xlfn.IFS(D566&lt;=5,"Newcomer",AND(D566&gt;=6,D566&lt;=10),"Proficient",D566&gt;10,"Expert")</f>
        <v>Expert</v>
      </c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 t="str" cm="1">
        <f t="array" ref="M566">_xlfn.IFS(L566="Retirement","Voluntary",L566="Resignation","Voluntary",L566="Layoff","InVoluntary")</f>
        <v>InVoluntary</v>
      </c>
      <c r="N566" s="4" t="s">
        <v>26</v>
      </c>
      <c r="O566" s="41"/>
      <c r="P566">
        <v>1</v>
      </c>
      <c r="Q566" t="s">
        <v>174</v>
      </c>
    </row>
    <row r="567" spans="1:17" x14ac:dyDescent="0.35">
      <c r="A567" s="4">
        <v>3718</v>
      </c>
      <c r="B567" s="5">
        <v>37945</v>
      </c>
      <c r="C567" s="5">
        <v>43838</v>
      </c>
      <c r="D567" s="4">
        <v>17</v>
      </c>
      <c r="E567" s="6" t="str" cm="1">
        <f t="array" ref="E567">_xlfn.IFS(D567&lt;=5,"Newcomer",AND(D567&gt;=6,D567&lt;=10),"Proficient",D567&gt;10,"Expert")</f>
        <v>Expert</v>
      </c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 t="str" cm="1">
        <f t="array" ref="M567">_xlfn.IFS(L567="Retirement","Voluntary",L567="Resignation","Voluntary",L567="Layoff","InVoluntary")</f>
        <v>InVoluntary</v>
      </c>
      <c r="N567" s="4" t="s">
        <v>26</v>
      </c>
      <c r="O567" s="41"/>
      <c r="P567">
        <v>1</v>
      </c>
      <c r="Q567" t="s">
        <v>174</v>
      </c>
    </row>
    <row r="568" spans="1:17" x14ac:dyDescent="0.35">
      <c r="A568" s="4">
        <v>3721</v>
      </c>
      <c r="B568" s="5">
        <v>40605</v>
      </c>
      <c r="C568" s="5">
        <v>43957</v>
      </c>
      <c r="D568" s="4">
        <v>9</v>
      </c>
      <c r="E568" s="6" t="str" cm="1">
        <f t="array" ref="E568">_xlfn.IFS(D568&lt;=5,"Newcomer",AND(D568&gt;=6,D568&lt;=10),"Proficient",D568&gt;10,"Expert")</f>
        <v>Proficient</v>
      </c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 t="str" cm="1">
        <f t="array" ref="M568">_xlfn.IFS(L568="Retirement","Voluntary",L568="Resignation","Voluntary",L568="Layoff","InVoluntary")</f>
        <v>InVoluntary</v>
      </c>
      <c r="N568" s="4" t="s">
        <v>26</v>
      </c>
      <c r="O568" s="41"/>
      <c r="P568">
        <v>1</v>
      </c>
      <c r="Q568" t="s">
        <v>174</v>
      </c>
    </row>
    <row r="569" spans="1:17" x14ac:dyDescent="0.35">
      <c r="A569" s="4">
        <v>3722</v>
      </c>
      <c r="B569" s="5">
        <v>36414</v>
      </c>
      <c r="C569" s="5">
        <v>44006</v>
      </c>
      <c r="D569" s="4">
        <v>21</v>
      </c>
      <c r="E569" s="6" t="str" cm="1">
        <f t="array" ref="E569">_xlfn.IFS(D569&lt;=5,"Newcomer",AND(D569&gt;=6,D569&lt;=10),"Proficient",D569&gt;10,"Expert")</f>
        <v>Expert</v>
      </c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 t="str" cm="1">
        <f t="array" ref="M569">_xlfn.IFS(L569="Retirement","Voluntary",L569="Resignation","Voluntary",L569="Layoff","InVoluntary")</f>
        <v>InVoluntary</v>
      </c>
      <c r="N569" s="4" t="s">
        <v>26</v>
      </c>
      <c r="O569" s="41"/>
      <c r="P569">
        <v>1</v>
      </c>
      <c r="Q569" t="s">
        <v>174</v>
      </c>
    </row>
    <row r="570" spans="1:17" x14ac:dyDescent="0.35">
      <c r="A570" s="4">
        <v>3730</v>
      </c>
      <c r="B570" s="5">
        <v>40757</v>
      </c>
      <c r="C570" s="5">
        <v>44134</v>
      </c>
      <c r="D570" s="4">
        <v>9</v>
      </c>
      <c r="E570" s="6" t="str" cm="1">
        <f t="array" ref="E570">_xlfn.IFS(D570&lt;=5,"Newcomer",AND(D570&gt;=6,D570&lt;=10),"Proficient",D570&gt;10,"Expert")</f>
        <v>Proficient</v>
      </c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 t="str" cm="1">
        <f t="array" ref="M570">_xlfn.IFS(L570="Retirement","Voluntary",L570="Resignation","Voluntary",L570="Layoff","InVoluntary")</f>
        <v>InVoluntary</v>
      </c>
      <c r="N570" s="4" t="s">
        <v>26</v>
      </c>
      <c r="O570" s="41"/>
      <c r="P570">
        <v>1</v>
      </c>
      <c r="Q570" t="s">
        <v>174</v>
      </c>
    </row>
    <row r="571" spans="1:17" x14ac:dyDescent="0.35">
      <c r="A571" s="4">
        <v>3733</v>
      </c>
      <c r="B571" s="5">
        <v>39292</v>
      </c>
      <c r="C571" s="5">
        <v>43996</v>
      </c>
      <c r="D571" s="4">
        <v>13</v>
      </c>
      <c r="E571" s="6" t="str" cm="1">
        <f t="array" ref="E571">_xlfn.IFS(D571&lt;=5,"Newcomer",AND(D571&gt;=6,D571&lt;=10),"Proficient",D571&gt;10,"Expert")</f>
        <v>Expert</v>
      </c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 t="str" cm="1">
        <f t="array" ref="M571">_xlfn.IFS(L571="Retirement","Voluntary",L571="Resignation","Voluntary",L571="Layoff","InVoluntary")</f>
        <v>InVoluntary</v>
      </c>
      <c r="N571" s="4" t="s">
        <v>26</v>
      </c>
      <c r="O571" s="41"/>
      <c r="P571">
        <v>1</v>
      </c>
      <c r="Q571" t="s">
        <v>174</v>
      </c>
    </row>
    <row r="572" spans="1:17" x14ac:dyDescent="0.35">
      <c r="A572" s="4">
        <v>3741</v>
      </c>
      <c r="B572" s="5">
        <v>42117</v>
      </c>
      <c r="C572" s="5">
        <v>44189</v>
      </c>
      <c r="D572" s="4">
        <v>5</v>
      </c>
      <c r="E572" s="6" t="str" cm="1">
        <f t="array" ref="E572">_xlfn.IFS(D572&lt;=5,"Newcomer",AND(D572&gt;=6,D572&lt;=10),"Proficient",D572&gt;10,"Expert")</f>
        <v>Newcomer</v>
      </c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 t="str" cm="1">
        <f t="array" ref="M572">_xlfn.IFS(L572="Retirement","Voluntary",L572="Resignation","Voluntary",L572="Layoff","InVoluntary")</f>
        <v>InVoluntary</v>
      </c>
      <c r="N572" s="4" t="s">
        <v>26</v>
      </c>
      <c r="O572" s="41"/>
      <c r="P572">
        <v>1</v>
      </c>
      <c r="Q572" t="s">
        <v>174</v>
      </c>
    </row>
    <row r="573" spans="1:17" x14ac:dyDescent="0.35">
      <c r="A573" s="4">
        <v>3744</v>
      </c>
      <c r="B573" s="5">
        <v>33918</v>
      </c>
      <c r="C573" s="5">
        <v>43981</v>
      </c>
      <c r="D573" s="4">
        <v>28</v>
      </c>
      <c r="E573" s="6" t="str" cm="1">
        <f t="array" ref="E573">_xlfn.IFS(D573&lt;=5,"Newcomer",AND(D573&gt;=6,D573&lt;=10),"Proficient",D573&gt;10,"Expert")</f>
        <v>Expert</v>
      </c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 t="str" cm="1">
        <f t="array" ref="M573">_xlfn.IFS(L573="Retirement","Voluntary",L573="Resignation","Voluntary",L573="Layoff","InVoluntary")</f>
        <v>InVoluntary</v>
      </c>
      <c r="N573" s="4" t="s">
        <v>26</v>
      </c>
      <c r="O573" s="41"/>
      <c r="P573">
        <v>1</v>
      </c>
      <c r="Q573" t="s">
        <v>174</v>
      </c>
    </row>
    <row r="574" spans="1:17" x14ac:dyDescent="0.35">
      <c r="A574" s="4">
        <v>3752</v>
      </c>
      <c r="B574" s="5">
        <v>37544</v>
      </c>
      <c r="C574" s="5">
        <v>44124</v>
      </c>
      <c r="D574" s="4">
        <v>18</v>
      </c>
      <c r="E574" s="6" t="str" cm="1">
        <f t="array" ref="E574">_xlfn.IFS(D574&lt;=5,"Newcomer",AND(D574&gt;=6,D574&lt;=10),"Proficient",D574&gt;10,"Expert")</f>
        <v>Expert</v>
      </c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 t="str" cm="1">
        <f t="array" ref="M574">_xlfn.IFS(L574="Retirement","Voluntary",L574="Resignation","Voluntary",L574="Layoff","InVoluntary")</f>
        <v>Voluntary</v>
      </c>
      <c r="N574" s="4" t="s">
        <v>26</v>
      </c>
      <c r="O574" s="41"/>
      <c r="P574">
        <v>1</v>
      </c>
      <c r="Q574" t="s">
        <v>173</v>
      </c>
    </row>
    <row r="575" spans="1:17" x14ac:dyDescent="0.35">
      <c r="A575" s="4">
        <v>3753</v>
      </c>
      <c r="B575" s="5">
        <v>42135</v>
      </c>
      <c r="C575" s="5">
        <v>43912</v>
      </c>
      <c r="D575" s="4">
        <v>5</v>
      </c>
      <c r="E575" s="6" t="str" cm="1">
        <f t="array" ref="E575">_xlfn.IFS(D575&lt;=5,"Newcomer",AND(D575&gt;=6,D575&lt;=10),"Proficient",D575&gt;10,"Expert")</f>
        <v>Newcomer</v>
      </c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 t="str" cm="1">
        <f t="array" ref="M575">_xlfn.IFS(L575="Retirement","Voluntary",L575="Resignation","Voluntary",L575="Layoff","InVoluntary")</f>
        <v>InVoluntary</v>
      </c>
      <c r="N575" s="4" t="s">
        <v>26</v>
      </c>
      <c r="O575" s="41"/>
      <c r="P575">
        <v>1</v>
      </c>
      <c r="Q575" t="s">
        <v>174</v>
      </c>
    </row>
    <row r="576" spans="1:17" x14ac:dyDescent="0.35">
      <c r="A576" s="4">
        <v>3765</v>
      </c>
      <c r="B576" s="5">
        <v>42235</v>
      </c>
      <c r="C576" s="5">
        <v>44041</v>
      </c>
      <c r="D576" s="4">
        <v>5</v>
      </c>
      <c r="E576" s="6" t="str" cm="1">
        <f t="array" ref="E576">_xlfn.IFS(D576&lt;=5,"Newcomer",AND(D576&gt;=6,D576&lt;=10),"Proficient",D576&gt;10,"Expert")</f>
        <v>Newcomer</v>
      </c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 t="str" cm="1">
        <f t="array" ref="M576">_xlfn.IFS(L576="Retirement","Voluntary",L576="Resignation","Voluntary",L576="Layoff","InVoluntary")</f>
        <v>InVoluntary</v>
      </c>
      <c r="N576" s="4" t="s">
        <v>26</v>
      </c>
      <c r="O576" s="41"/>
      <c r="P576">
        <v>1</v>
      </c>
      <c r="Q576" t="s">
        <v>174</v>
      </c>
    </row>
    <row r="577" spans="1:17" x14ac:dyDescent="0.35">
      <c r="A577" s="4">
        <v>3771</v>
      </c>
      <c r="B577" s="5">
        <v>42080</v>
      </c>
      <c r="C577" s="5">
        <v>44078</v>
      </c>
      <c r="D577" s="4">
        <v>5</v>
      </c>
      <c r="E577" s="6" t="str" cm="1">
        <f t="array" ref="E577">_xlfn.IFS(D577&lt;=5,"Newcomer",AND(D577&gt;=6,D577&lt;=10),"Proficient",D577&gt;10,"Expert")</f>
        <v>Newcomer</v>
      </c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 t="str" cm="1">
        <f t="array" ref="M577">_xlfn.IFS(L577="Retirement","Voluntary",L577="Resignation","Voluntary",L577="Layoff","InVoluntary")</f>
        <v>InVoluntary</v>
      </c>
      <c r="N577" s="4" t="s">
        <v>26</v>
      </c>
      <c r="O577" s="41"/>
      <c r="P577">
        <v>1</v>
      </c>
      <c r="Q577" t="s">
        <v>174</v>
      </c>
    </row>
    <row r="578" spans="1:17" x14ac:dyDescent="0.35">
      <c r="A578" s="4">
        <v>3772</v>
      </c>
      <c r="B578" s="5">
        <v>35653</v>
      </c>
      <c r="C578" s="5">
        <v>43863</v>
      </c>
      <c r="D578" s="4">
        <v>23</v>
      </c>
      <c r="E578" s="6" t="str" cm="1">
        <f t="array" ref="E578">_xlfn.IFS(D578&lt;=5,"Newcomer",AND(D578&gt;=6,D578&lt;=10),"Proficient",D578&gt;10,"Expert")</f>
        <v>Expert</v>
      </c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 t="str" cm="1">
        <f t="array" ref="M578">_xlfn.IFS(L578="Retirement","Voluntary",L578="Resignation","Voluntary",L578="Layoff","InVoluntary")</f>
        <v>InVoluntary</v>
      </c>
      <c r="N578" s="4" t="s">
        <v>26</v>
      </c>
      <c r="O578" s="41"/>
      <c r="P578">
        <v>1</v>
      </c>
      <c r="Q578" t="s">
        <v>174</v>
      </c>
    </row>
    <row r="579" spans="1:17" x14ac:dyDescent="0.35">
      <c r="A579" s="4">
        <v>3778</v>
      </c>
      <c r="B579" s="5">
        <v>34224</v>
      </c>
      <c r="C579" s="5">
        <v>43978</v>
      </c>
      <c r="D579" s="4">
        <v>27</v>
      </c>
      <c r="E579" s="6" t="str" cm="1">
        <f t="array" ref="E579">_xlfn.IFS(D579&lt;=5,"Newcomer",AND(D579&gt;=6,D579&lt;=10),"Proficient",D579&gt;10,"Expert")</f>
        <v>Expert</v>
      </c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 t="str" cm="1">
        <f t="array" ref="M579">_xlfn.IFS(L579="Retirement","Voluntary",L579="Resignation","Voluntary",L579="Layoff","InVoluntary")</f>
        <v>InVoluntary</v>
      </c>
      <c r="N579" s="4" t="s">
        <v>26</v>
      </c>
      <c r="O579" s="41"/>
      <c r="P579">
        <v>1</v>
      </c>
      <c r="Q579" t="s">
        <v>174</v>
      </c>
    </row>
    <row r="580" spans="1:17" x14ac:dyDescent="0.35">
      <c r="A580" s="4">
        <v>3787</v>
      </c>
      <c r="B580" s="5">
        <v>40792</v>
      </c>
      <c r="C580" s="5">
        <v>44055</v>
      </c>
      <c r="D580" s="4">
        <v>9</v>
      </c>
      <c r="E580" s="6" t="str" cm="1">
        <f t="array" ref="E580">_xlfn.IFS(D580&lt;=5,"Newcomer",AND(D580&gt;=6,D580&lt;=10),"Proficient",D580&gt;10,"Expert")</f>
        <v>Proficient</v>
      </c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 t="str" cm="1">
        <f t="array" ref="M580">_xlfn.IFS(L580="Retirement","Voluntary",L580="Resignation","Voluntary",L580="Layoff","InVoluntary")</f>
        <v>InVoluntary</v>
      </c>
      <c r="N580" s="4" t="s">
        <v>26</v>
      </c>
      <c r="O580" s="41"/>
      <c r="P580">
        <v>1</v>
      </c>
      <c r="Q580" t="s">
        <v>174</v>
      </c>
    </row>
    <row r="581" spans="1:17" x14ac:dyDescent="0.35">
      <c r="A581" s="4">
        <v>3789</v>
      </c>
      <c r="B581" s="5">
        <v>34221</v>
      </c>
      <c r="C581" s="5">
        <v>43886</v>
      </c>
      <c r="D581" s="4">
        <v>27</v>
      </c>
      <c r="E581" s="6" t="str" cm="1">
        <f t="array" ref="E581">_xlfn.IFS(D581&lt;=5,"Newcomer",AND(D581&gt;=6,D581&lt;=10),"Proficient",D581&gt;10,"Expert")</f>
        <v>Expert</v>
      </c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 t="str" cm="1">
        <f t="array" ref="M581">_xlfn.IFS(L581="Retirement","Voluntary",L581="Resignation","Voluntary",L581="Layoff","InVoluntary")</f>
        <v>InVoluntary</v>
      </c>
      <c r="N581" s="4" t="s">
        <v>26</v>
      </c>
      <c r="O581" s="41"/>
      <c r="P581">
        <v>1</v>
      </c>
      <c r="Q581" t="s">
        <v>174</v>
      </c>
    </row>
    <row r="582" spans="1:17" x14ac:dyDescent="0.35">
      <c r="A582" s="4">
        <v>3796</v>
      </c>
      <c r="B582" s="5">
        <v>40481</v>
      </c>
      <c r="C582" s="5">
        <v>43890</v>
      </c>
      <c r="D582" s="4">
        <v>10</v>
      </c>
      <c r="E582" s="6" t="str" cm="1">
        <f t="array" ref="E582">_xlfn.IFS(D582&lt;=5,"Newcomer",AND(D582&gt;=6,D582&lt;=10),"Proficient",D582&gt;10,"Expert")</f>
        <v>Proficient</v>
      </c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 t="str" cm="1">
        <f t="array" ref="M582">_xlfn.IFS(L582="Retirement","Voluntary",L582="Resignation","Voluntary",L582="Layoff","InVoluntary")</f>
        <v>InVoluntary</v>
      </c>
      <c r="N582" s="4" t="s">
        <v>26</v>
      </c>
      <c r="O582" s="41"/>
      <c r="P582">
        <v>1</v>
      </c>
      <c r="Q582" t="s">
        <v>174</v>
      </c>
    </row>
    <row r="583" spans="1:17" x14ac:dyDescent="0.35">
      <c r="A583" s="4">
        <v>3804</v>
      </c>
      <c r="B583" s="5">
        <v>40695</v>
      </c>
      <c r="C583" s="5">
        <v>44071</v>
      </c>
      <c r="D583" s="4">
        <v>9</v>
      </c>
      <c r="E583" s="6" t="str" cm="1">
        <f t="array" ref="E583">_xlfn.IFS(D583&lt;=5,"Newcomer",AND(D583&gt;=6,D583&lt;=10),"Proficient",D583&gt;10,"Expert")</f>
        <v>Proficient</v>
      </c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 t="str" cm="1">
        <f t="array" ref="M583">_xlfn.IFS(L583="Retirement","Voluntary",L583="Resignation","Voluntary",L583="Layoff","InVoluntary")</f>
        <v>InVoluntary</v>
      </c>
      <c r="N583" s="4" t="s">
        <v>26</v>
      </c>
      <c r="O583" s="41"/>
      <c r="P583">
        <v>1</v>
      </c>
      <c r="Q583" t="s">
        <v>174</v>
      </c>
    </row>
    <row r="584" spans="1:17" x14ac:dyDescent="0.35">
      <c r="A584" s="4">
        <v>3814</v>
      </c>
      <c r="B584" s="5">
        <v>36139</v>
      </c>
      <c r="C584" s="5">
        <v>43945</v>
      </c>
      <c r="D584" s="4">
        <v>22</v>
      </c>
      <c r="E584" s="6" t="str" cm="1">
        <f t="array" ref="E584">_xlfn.IFS(D584&lt;=5,"Newcomer",AND(D584&gt;=6,D584&lt;=10),"Proficient",D584&gt;10,"Expert")</f>
        <v>Expert</v>
      </c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 t="str" cm="1">
        <f t="array" ref="M584">_xlfn.IFS(L584="Retirement","Voluntary",L584="Resignation","Voluntary",L584="Layoff","InVoluntary")</f>
        <v>InVoluntary</v>
      </c>
      <c r="N584" s="4" t="s">
        <v>26</v>
      </c>
      <c r="O584" s="41"/>
      <c r="P584">
        <v>1</v>
      </c>
      <c r="Q584" t="s">
        <v>174</v>
      </c>
    </row>
    <row r="585" spans="1:17" x14ac:dyDescent="0.35">
      <c r="A585" s="4">
        <v>3815</v>
      </c>
      <c r="B585" s="5">
        <v>41838</v>
      </c>
      <c r="C585" s="5">
        <v>44066</v>
      </c>
      <c r="D585" s="4">
        <v>6</v>
      </c>
      <c r="E585" s="6" t="str" cm="1">
        <f t="array" ref="E585">_xlfn.IFS(D585&lt;=5,"Newcomer",AND(D585&gt;=6,D585&lt;=10),"Proficient",D585&gt;10,"Expert")</f>
        <v>Proficient</v>
      </c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 t="str" cm="1">
        <f t="array" ref="M585">_xlfn.IFS(L585="Retirement","Voluntary",L585="Resignation","Voluntary",L585="Layoff","InVoluntary")</f>
        <v>InVoluntary</v>
      </c>
      <c r="N585" s="4" t="s">
        <v>26</v>
      </c>
      <c r="O585" s="41"/>
      <c r="P585">
        <v>1</v>
      </c>
      <c r="Q585" t="s">
        <v>174</v>
      </c>
    </row>
    <row r="586" spans="1:17" x14ac:dyDescent="0.35">
      <c r="A586" s="4">
        <v>3817</v>
      </c>
      <c r="B586" s="5">
        <v>34176</v>
      </c>
      <c r="C586" s="5">
        <v>43938</v>
      </c>
      <c r="D586" s="4">
        <v>27</v>
      </c>
      <c r="E586" s="6" t="str" cm="1">
        <f t="array" ref="E586">_xlfn.IFS(D586&lt;=5,"Newcomer",AND(D586&gt;=6,D586&lt;=10),"Proficient",D586&gt;10,"Expert")</f>
        <v>Expert</v>
      </c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 t="str" cm="1">
        <f t="array" ref="M586">_xlfn.IFS(L586="Retirement","Voluntary",L586="Resignation","Voluntary",L586="Layoff","InVoluntary")</f>
        <v>InVoluntary</v>
      </c>
      <c r="N586" s="4" t="s">
        <v>26</v>
      </c>
      <c r="O586" s="41"/>
      <c r="P586">
        <v>1</v>
      </c>
      <c r="Q586" t="s">
        <v>174</v>
      </c>
    </row>
    <row r="587" spans="1:17" x14ac:dyDescent="0.35">
      <c r="A587" s="4">
        <v>3824</v>
      </c>
      <c r="B587" s="5">
        <v>40403</v>
      </c>
      <c r="C587" s="5">
        <v>43953</v>
      </c>
      <c r="D587" s="4">
        <v>10</v>
      </c>
      <c r="E587" s="6" t="str" cm="1">
        <f t="array" ref="E587">_xlfn.IFS(D587&lt;=5,"Newcomer",AND(D587&gt;=6,D587&lt;=10),"Proficient",D587&gt;10,"Expert")</f>
        <v>Proficient</v>
      </c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 t="str" cm="1">
        <f t="array" ref="M587">_xlfn.IFS(L587="Retirement","Voluntary",L587="Resignation","Voluntary",L587="Layoff","InVoluntary")</f>
        <v>Voluntary</v>
      </c>
      <c r="N587" s="4" t="s">
        <v>26</v>
      </c>
      <c r="O587" s="41"/>
      <c r="P587">
        <v>1</v>
      </c>
      <c r="Q587" t="s">
        <v>173</v>
      </c>
    </row>
    <row r="588" spans="1:17" x14ac:dyDescent="0.35">
      <c r="A588" s="4">
        <v>3830</v>
      </c>
      <c r="B588" s="5">
        <v>39281</v>
      </c>
      <c r="C588" s="5">
        <v>44035</v>
      </c>
      <c r="D588" s="4">
        <v>13</v>
      </c>
      <c r="E588" s="6" t="str" cm="1">
        <f t="array" ref="E588">_xlfn.IFS(D588&lt;=5,"Newcomer",AND(D588&gt;=6,D588&lt;=10),"Proficient",D588&gt;10,"Expert")</f>
        <v>Expert</v>
      </c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 t="str" cm="1">
        <f t="array" ref="M588">_xlfn.IFS(L588="Retirement","Voluntary",L588="Resignation","Voluntary",L588="Layoff","InVoluntary")</f>
        <v>InVoluntary</v>
      </c>
      <c r="N588" s="4" t="s">
        <v>26</v>
      </c>
      <c r="O588" s="41"/>
      <c r="P588">
        <v>1</v>
      </c>
      <c r="Q588" t="s">
        <v>174</v>
      </c>
    </row>
    <row r="589" spans="1:17" x14ac:dyDescent="0.35">
      <c r="A589" s="4">
        <v>3832</v>
      </c>
      <c r="B589" s="5">
        <v>40638</v>
      </c>
      <c r="C589" s="5">
        <v>44082</v>
      </c>
      <c r="D589" s="4">
        <v>9</v>
      </c>
      <c r="E589" s="6" t="str" cm="1">
        <f t="array" ref="E589">_xlfn.IFS(D589&lt;=5,"Newcomer",AND(D589&gt;=6,D589&lt;=10),"Proficient",D589&gt;10,"Expert")</f>
        <v>Proficient</v>
      </c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 t="str" cm="1">
        <f t="array" ref="M589">_xlfn.IFS(L589="Retirement","Voluntary",L589="Resignation","Voluntary",L589="Layoff","InVoluntary")</f>
        <v>InVoluntary</v>
      </c>
      <c r="N589" s="4" t="s">
        <v>26</v>
      </c>
      <c r="O589" s="41"/>
      <c r="P589">
        <v>1</v>
      </c>
      <c r="Q589" t="s">
        <v>174</v>
      </c>
    </row>
    <row r="590" spans="1:17" x14ac:dyDescent="0.35">
      <c r="A590" s="4">
        <v>3840</v>
      </c>
      <c r="B590" s="5">
        <v>39947</v>
      </c>
      <c r="C590" s="5">
        <v>44016</v>
      </c>
      <c r="D590" s="4">
        <v>11</v>
      </c>
      <c r="E590" s="6" t="str" cm="1">
        <f t="array" ref="E590">_xlfn.IFS(D590&lt;=5,"Newcomer",AND(D590&gt;=6,D590&lt;=10),"Proficient",D590&gt;10,"Expert")</f>
        <v>Expert</v>
      </c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 t="str" cm="1">
        <f t="array" ref="M590">_xlfn.IFS(L590="Retirement","Voluntary",L590="Resignation","Voluntary",L590="Layoff","InVoluntary")</f>
        <v>Voluntary</v>
      </c>
      <c r="N590" s="4" t="s">
        <v>26</v>
      </c>
      <c r="O590" s="41"/>
      <c r="P590">
        <v>1</v>
      </c>
      <c r="Q590" t="s">
        <v>173</v>
      </c>
    </row>
    <row r="591" spans="1:17" x14ac:dyDescent="0.35">
      <c r="A591" s="4">
        <v>3845</v>
      </c>
      <c r="B591" s="5">
        <v>39109</v>
      </c>
      <c r="C591" s="5">
        <v>44109</v>
      </c>
      <c r="D591" s="4">
        <v>13</v>
      </c>
      <c r="E591" s="6" t="str" cm="1">
        <f t="array" ref="E591">_xlfn.IFS(D591&lt;=5,"Newcomer",AND(D591&gt;=6,D591&lt;=10),"Proficient",D591&gt;10,"Expert")</f>
        <v>Expert</v>
      </c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 t="str" cm="1">
        <f t="array" ref="M591">_xlfn.IFS(L591="Retirement","Voluntary",L591="Resignation","Voluntary",L591="Layoff","InVoluntary")</f>
        <v>InVoluntary</v>
      </c>
      <c r="N591" s="4" t="s">
        <v>26</v>
      </c>
      <c r="O591" s="41"/>
      <c r="P591">
        <v>1</v>
      </c>
      <c r="Q591" t="s">
        <v>174</v>
      </c>
    </row>
    <row r="592" spans="1:17" x14ac:dyDescent="0.35">
      <c r="A592" s="4">
        <v>3850</v>
      </c>
      <c r="B592" s="5">
        <v>36701</v>
      </c>
      <c r="C592" s="5">
        <v>44038</v>
      </c>
      <c r="D592" s="4">
        <v>20</v>
      </c>
      <c r="E592" s="6" t="str" cm="1">
        <f t="array" ref="E592">_xlfn.IFS(D592&lt;=5,"Newcomer",AND(D592&gt;=6,D592&lt;=10),"Proficient",D592&gt;10,"Expert")</f>
        <v>Expert</v>
      </c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 t="str" cm="1">
        <f t="array" ref="M592">_xlfn.IFS(L592="Retirement","Voluntary",L592="Resignation","Voluntary",L592="Layoff","InVoluntary")</f>
        <v>InVoluntary</v>
      </c>
      <c r="N592" s="4" t="s">
        <v>26</v>
      </c>
      <c r="O592" s="41"/>
      <c r="P592">
        <v>1</v>
      </c>
      <c r="Q592" t="s">
        <v>174</v>
      </c>
    </row>
    <row r="593" spans="1:17" x14ac:dyDescent="0.35">
      <c r="A593" s="4">
        <v>3851</v>
      </c>
      <c r="B593" s="5">
        <v>38608</v>
      </c>
      <c r="C593" s="5">
        <v>43954</v>
      </c>
      <c r="D593" s="4">
        <v>15</v>
      </c>
      <c r="E593" s="6" t="str" cm="1">
        <f t="array" ref="E593">_xlfn.IFS(D593&lt;=5,"Newcomer",AND(D593&gt;=6,D593&lt;=10),"Proficient",D593&gt;10,"Expert")</f>
        <v>Expert</v>
      </c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 t="str" cm="1">
        <f t="array" ref="M593">_xlfn.IFS(L593="Retirement","Voluntary",L593="Resignation","Voluntary",L593="Layoff","InVoluntary")</f>
        <v>InVoluntary</v>
      </c>
      <c r="N593" s="4" t="s">
        <v>26</v>
      </c>
      <c r="O593" s="41"/>
      <c r="P593">
        <v>1</v>
      </c>
      <c r="Q593" t="s">
        <v>174</v>
      </c>
    </row>
    <row r="594" spans="1:17" x14ac:dyDescent="0.35">
      <c r="A594" s="4">
        <v>3866</v>
      </c>
      <c r="B594" s="5">
        <v>35015</v>
      </c>
      <c r="C594" s="5">
        <v>44113</v>
      </c>
      <c r="D594" s="4">
        <v>25</v>
      </c>
      <c r="E594" s="6" t="str" cm="1">
        <f t="array" ref="E594">_xlfn.IFS(D594&lt;=5,"Newcomer",AND(D594&gt;=6,D594&lt;=10),"Proficient",D594&gt;10,"Expert")</f>
        <v>Expert</v>
      </c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 t="str" cm="1">
        <f t="array" ref="M594">_xlfn.IFS(L594="Retirement","Voluntary",L594="Resignation","Voluntary",L594="Layoff","InVoluntary")</f>
        <v>InVoluntary</v>
      </c>
      <c r="N594" s="4" t="s">
        <v>26</v>
      </c>
      <c r="O594" s="41"/>
      <c r="P594">
        <v>1</v>
      </c>
      <c r="Q594" t="s">
        <v>174</v>
      </c>
    </row>
    <row r="595" spans="1:17" x14ac:dyDescent="0.35">
      <c r="A595" s="4">
        <v>3871</v>
      </c>
      <c r="B595" s="5">
        <v>38756</v>
      </c>
      <c r="C595" s="5">
        <v>44017</v>
      </c>
      <c r="D595" s="4">
        <v>14</v>
      </c>
      <c r="E595" s="6" t="str" cm="1">
        <f t="array" ref="E595">_xlfn.IFS(D595&lt;=5,"Newcomer",AND(D595&gt;=6,D595&lt;=10),"Proficient",D595&gt;10,"Expert")</f>
        <v>Expert</v>
      </c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 t="str" cm="1">
        <f t="array" ref="M595">_xlfn.IFS(L595="Retirement","Voluntary",L595="Resignation","Voluntary",L595="Layoff","InVoluntary")</f>
        <v>InVoluntary</v>
      </c>
      <c r="N595" s="4" t="s">
        <v>26</v>
      </c>
      <c r="O595" s="41"/>
      <c r="P595">
        <v>1</v>
      </c>
      <c r="Q595" t="s">
        <v>174</v>
      </c>
    </row>
    <row r="596" spans="1:17" x14ac:dyDescent="0.35">
      <c r="A596" s="4">
        <v>3875</v>
      </c>
      <c r="B596" s="5">
        <v>33220</v>
      </c>
      <c r="C596" s="5">
        <v>44106</v>
      </c>
      <c r="D596" s="4">
        <v>30</v>
      </c>
      <c r="E596" s="6" t="str" cm="1">
        <f t="array" ref="E596">_xlfn.IFS(D596&lt;=5,"Newcomer",AND(D596&gt;=6,D596&lt;=10),"Proficient",D596&gt;10,"Expert")</f>
        <v>Expert</v>
      </c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 t="str" cm="1">
        <f t="array" ref="M596">_xlfn.IFS(L596="Retirement","Voluntary",L596="Resignation","Voluntary",L596="Layoff","InVoluntary")</f>
        <v>Voluntary</v>
      </c>
      <c r="N596" s="4" t="s">
        <v>26</v>
      </c>
      <c r="O596" s="41"/>
      <c r="P596">
        <v>1</v>
      </c>
      <c r="Q596" t="s">
        <v>173</v>
      </c>
    </row>
    <row r="597" spans="1:17" x14ac:dyDescent="0.35">
      <c r="A597" s="4">
        <v>3885</v>
      </c>
      <c r="B597" s="5">
        <v>41228</v>
      </c>
      <c r="C597" s="5">
        <v>43844</v>
      </c>
      <c r="D597" s="4">
        <v>8</v>
      </c>
      <c r="E597" s="6" t="str" cm="1">
        <f t="array" ref="E597">_xlfn.IFS(D597&lt;=5,"Newcomer",AND(D597&gt;=6,D597&lt;=10),"Proficient",D597&gt;10,"Expert")</f>
        <v>Proficient</v>
      </c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 t="str" cm="1">
        <f t="array" ref="M597">_xlfn.IFS(L597="Retirement","Voluntary",L597="Resignation","Voluntary",L597="Layoff","InVoluntary")</f>
        <v>InVoluntary</v>
      </c>
      <c r="N597" s="4" t="s">
        <v>26</v>
      </c>
      <c r="O597" s="41"/>
      <c r="P597">
        <v>1</v>
      </c>
      <c r="Q597" t="s">
        <v>174</v>
      </c>
    </row>
    <row r="598" spans="1:17" x14ac:dyDescent="0.35">
      <c r="A598" s="4">
        <v>3892</v>
      </c>
      <c r="B598" s="5">
        <v>39113</v>
      </c>
      <c r="C598" s="5">
        <v>44041</v>
      </c>
      <c r="D598" s="4">
        <v>13</v>
      </c>
      <c r="E598" s="6" t="str" cm="1">
        <f t="array" ref="E598">_xlfn.IFS(D598&lt;=5,"Newcomer",AND(D598&gt;=6,D598&lt;=10),"Proficient",D598&gt;10,"Expert")</f>
        <v>Expert</v>
      </c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 t="str" cm="1">
        <f t="array" ref="M598">_xlfn.IFS(L598="Retirement","Voluntary",L598="Resignation","Voluntary",L598="Layoff","InVoluntary")</f>
        <v>InVoluntary</v>
      </c>
      <c r="N598" s="4" t="s">
        <v>26</v>
      </c>
      <c r="O598" s="41"/>
      <c r="P598">
        <v>1</v>
      </c>
      <c r="Q598" t="s">
        <v>174</v>
      </c>
    </row>
    <row r="599" spans="1:17" x14ac:dyDescent="0.35">
      <c r="A599" s="4">
        <v>3893</v>
      </c>
      <c r="B599" s="5">
        <v>42128</v>
      </c>
      <c r="C599" s="5">
        <v>43974</v>
      </c>
      <c r="D599" s="4">
        <v>5</v>
      </c>
      <c r="E599" s="6" t="str" cm="1">
        <f t="array" ref="E599">_xlfn.IFS(D599&lt;=5,"Newcomer",AND(D599&gt;=6,D599&lt;=10),"Proficient",D599&gt;10,"Expert")</f>
        <v>Newcomer</v>
      </c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 t="str" cm="1">
        <f t="array" ref="M599">_xlfn.IFS(L599="Retirement","Voluntary",L599="Resignation","Voluntary",L599="Layoff","InVoluntary")</f>
        <v>InVoluntary</v>
      </c>
      <c r="N599" s="4" t="s">
        <v>26</v>
      </c>
      <c r="O599" s="41"/>
      <c r="P599">
        <v>1</v>
      </c>
      <c r="Q599" t="s">
        <v>174</v>
      </c>
    </row>
    <row r="600" spans="1:17" x14ac:dyDescent="0.35">
      <c r="A600" s="4">
        <v>3900</v>
      </c>
      <c r="B600" s="5">
        <v>40355</v>
      </c>
      <c r="C600" s="5">
        <v>44192</v>
      </c>
      <c r="D600" s="4">
        <v>10</v>
      </c>
      <c r="E600" s="6" t="str" cm="1">
        <f t="array" ref="E600">_xlfn.IFS(D600&lt;=5,"Newcomer",AND(D600&gt;=6,D600&lt;=10),"Proficient",D600&gt;10,"Expert")</f>
        <v>Proficient</v>
      </c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 t="str" cm="1">
        <f t="array" ref="M600">_xlfn.IFS(L600="Retirement","Voluntary",L600="Resignation","Voluntary",L600="Layoff","InVoluntary")</f>
        <v>InVoluntary</v>
      </c>
      <c r="N600" s="4" t="s">
        <v>26</v>
      </c>
      <c r="O600" s="41"/>
      <c r="P600">
        <v>1</v>
      </c>
      <c r="Q600" t="s">
        <v>174</v>
      </c>
    </row>
    <row r="601" spans="1:17" x14ac:dyDescent="0.35">
      <c r="A601" s="4">
        <v>3905</v>
      </c>
      <c r="B601" s="5">
        <v>40119</v>
      </c>
      <c r="C601" s="5">
        <v>44087</v>
      </c>
      <c r="D601" s="4">
        <v>11</v>
      </c>
      <c r="E601" s="6" t="str" cm="1">
        <f t="array" ref="E601">_xlfn.IFS(D601&lt;=5,"Newcomer",AND(D601&gt;=6,D601&lt;=10),"Proficient",D601&gt;10,"Expert")</f>
        <v>Expert</v>
      </c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 t="str" cm="1">
        <f t="array" ref="M601">_xlfn.IFS(L601="Retirement","Voluntary",L601="Resignation","Voluntary",L601="Layoff","InVoluntary")</f>
        <v>Voluntary</v>
      </c>
      <c r="N601" s="4" t="s">
        <v>26</v>
      </c>
      <c r="O601" s="41"/>
      <c r="P601">
        <v>1</v>
      </c>
      <c r="Q601" t="s">
        <v>173</v>
      </c>
    </row>
    <row r="602" spans="1:17" x14ac:dyDescent="0.35">
      <c r="A602" s="4">
        <v>3917</v>
      </c>
      <c r="B602" s="5">
        <v>38393</v>
      </c>
      <c r="C602" s="5">
        <v>43833</v>
      </c>
      <c r="D602" s="4">
        <v>15</v>
      </c>
      <c r="E602" s="6" t="str" cm="1">
        <f t="array" ref="E602">_xlfn.IFS(D602&lt;=5,"Newcomer",AND(D602&gt;=6,D602&lt;=10),"Proficient",D602&gt;10,"Expert")</f>
        <v>Expert</v>
      </c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 t="str" cm="1">
        <f t="array" ref="M602">_xlfn.IFS(L602="Retirement","Voluntary",L602="Resignation","Voluntary",L602="Layoff","InVoluntary")</f>
        <v>InVoluntary</v>
      </c>
      <c r="N602" s="4" t="s">
        <v>26</v>
      </c>
      <c r="O602" s="41"/>
      <c r="P602">
        <v>1</v>
      </c>
      <c r="Q602" t="s">
        <v>174</v>
      </c>
    </row>
    <row r="603" spans="1:17" x14ac:dyDescent="0.35">
      <c r="A603" s="4">
        <v>3922</v>
      </c>
      <c r="B603" s="5">
        <v>33930</v>
      </c>
      <c r="C603" s="5">
        <v>44038</v>
      </c>
      <c r="D603" s="4">
        <v>28</v>
      </c>
      <c r="E603" s="6" t="str" cm="1">
        <f t="array" ref="E603">_xlfn.IFS(D603&lt;=5,"Newcomer",AND(D603&gt;=6,D603&lt;=10),"Proficient",D603&gt;10,"Expert")</f>
        <v>Expert</v>
      </c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 t="str" cm="1">
        <f t="array" ref="M603">_xlfn.IFS(L603="Retirement","Voluntary",L603="Resignation","Voluntary",L603="Layoff","InVoluntary")</f>
        <v>InVoluntary</v>
      </c>
      <c r="N603" s="4" t="s">
        <v>26</v>
      </c>
      <c r="O603" s="41"/>
      <c r="P603">
        <v>1</v>
      </c>
      <c r="Q603" t="s">
        <v>174</v>
      </c>
    </row>
    <row r="604" spans="1:17" x14ac:dyDescent="0.35">
      <c r="A604" s="4">
        <v>3924</v>
      </c>
      <c r="B604" s="5">
        <v>35406</v>
      </c>
      <c r="C604" s="5">
        <v>44053</v>
      </c>
      <c r="D604" s="4">
        <v>24</v>
      </c>
      <c r="E604" s="6" t="str" cm="1">
        <f t="array" ref="E604">_xlfn.IFS(D604&lt;=5,"Newcomer",AND(D604&gt;=6,D604&lt;=10),"Proficient",D604&gt;10,"Expert")</f>
        <v>Expert</v>
      </c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 t="str" cm="1">
        <f t="array" ref="M604">_xlfn.IFS(L604="Retirement","Voluntary",L604="Resignation","Voluntary",L604="Layoff","InVoluntary")</f>
        <v>InVoluntary</v>
      </c>
      <c r="N604" s="4" t="s">
        <v>26</v>
      </c>
      <c r="O604" s="41"/>
      <c r="P604">
        <v>1</v>
      </c>
      <c r="Q604" t="s">
        <v>174</v>
      </c>
    </row>
    <row r="605" spans="1:17" x14ac:dyDescent="0.35">
      <c r="A605" s="4">
        <v>3926</v>
      </c>
      <c r="B605" s="5">
        <v>36611</v>
      </c>
      <c r="C605" s="5">
        <v>44089</v>
      </c>
      <c r="D605" s="4">
        <v>20</v>
      </c>
      <c r="E605" s="6" t="str" cm="1">
        <f t="array" ref="E605">_xlfn.IFS(D605&lt;=5,"Newcomer",AND(D605&gt;=6,D605&lt;=10),"Proficient",D605&gt;10,"Expert")</f>
        <v>Expert</v>
      </c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 t="str" cm="1">
        <f t="array" ref="M605">_xlfn.IFS(L605="Retirement","Voluntary",L605="Resignation","Voluntary",L605="Layoff","InVoluntary")</f>
        <v>InVoluntary</v>
      </c>
      <c r="N605" s="4" t="s">
        <v>26</v>
      </c>
      <c r="O605" s="41"/>
      <c r="P605">
        <v>1</v>
      </c>
      <c r="Q605" t="s">
        <v>174</v>
      </c>
    </row>
    <row r="606" spans="1:17" x14ac:dyDescent="0.35">
      <c r="A606" s="4">
        <v>3932</v>
      </c>
      <c r="B606" s="5">
        <v>35696</v>
      </c>
      <c r="C606" s="5">
        <v>43975</v>
      </c>
      <c r="D606" s="4">
        <v>23</v>
      </c>
      <c r="E606" s="6" t="str" cm="1">
        <f t="array" ref="E606">_xlfn.IFS(D606&lt;=5,"Newcomer",AND(D606&gt;=6,D606&lt;=10),"Proficient",D606&gt;10,"Expert")</f>
        <v>Expert</v>
      </c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 t="str" cm="1">
        <f t="array" ref="M606">_xlfn.IFS(L606="Retirement","Voluntary",L606="Resignation","Voluntary",L606="Layoff","InVoluntary")</f>
        <v>InVoluntary</v>
      </c>
      <c r="N606" s="4" t="s">
        <v>26</v>
      </c>
      <c r="O606" s="41"/>
      <c r="P606">
        <v>1</v>
      </c>
      <c r="Q606" t="s">
        <v>174</v>
      </c>
    </row>
    <row r="607" spans="1:17" x14ac:dyDescent="0.35">
      <c r="A607" s="4">
        <v>3935</v>
      </c>
      <c r="B607" s="5">
        <v>35446</v>
      </c>
      <c r="C607" s="5">
        <v>43846</v>
      </c>
      <c r="D607" s="4">
        <v>23</v>
      </c>
      <c r="E607" s="6" t="str" cm="1">
        <f t="array" ref="E607">_xlfn.IFS(D607&lt;=5,"Newcomer",AND(D607&gt;=6,D607&lt;=10),"Proficient",D607&gt;10,"Expert")</f>
        <v>Expert</v>
      </c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 t="str" cm="1">
        <f t="array" ref="M607">_xlfn.IFS(L607="Retirement","Voluntary",L607="Resignation","Voluntary",L607="Layoff","InVoluntary")</f>
        <v>InVoluntary</v>
      </c>
      <c r="N607" s="4" t="s">
        <v>26</v>
      </c>
      <c r="O607" s="41"/>
      <c r="P607">
        <v>1</v>
      </c>
      <c r="Q607" t="s">
        <v>174</v>
      </c>
    </row>
    <row r="608" spans="1:17" x14ac:dyDescent="0.35">
      <c r="A608" s="4">
        <v>3937</v>
      </c>
      <c r="B608" s="5">
        <v>35499</v>
      </c>
      <c r="C608" s="5">
        <v>43944</v>
      </c>
      <c r="D608" s="4">
        <v>23</v>
      </c>
      <c r="E608" s="6" t="str" cm="1">
        <f t="array" ref="E608">_xlfn.IFS(D608&lt;=5,"Newcomer",AND(D608&gt;=6,D608&lt;=10),"Proficient",D608&gt;10,"Expert")</f>
        <v>Expert</v>
      </c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 t="str" cm="1">
        <f t="array" ref="M608">_xlfn.IFS(L608="Retirement","Voluntary",L608="Resignation","Voluntary",L608="Layoff","InVoluntary")</f>
        <v>InVoluntary</v>
      </c>
      <c r="N608" s="4" t="s">
        <v>26</v>
      </c>
      <c r="O608" s="41"/>
      <c r="P608">
        <v>1</v>
      </c>
      <c r="Q608" t="s">
        <v>174</v>
      </c>
    </row>
    <row r="609" spans="1:17" x14ac:dyDescent="0.35">
      <c r="A609" s="4">
        <v>3939</v>
      </c>
      <c r="B609" s="5">
        <v>36960</v>
      </c>
      <c r="C609" s="5">
        <v>43970</v>
      </c>
      <c r="D609" s="4">
        <v>19</v>
      </c>
      <c r="E609" s="6" t="str" cm="1">
        <f t="array" ref="E609">_xlfn.IFS(D609&lt;=5,"Newcomer",AND(D609&gt;=6,D609&lt;=10),"Proficient",D609&gt;10,"Expert")</f>
        <v>Expert</v>
      </c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 t="str" cm="1">
        <f t="array" ref="M609">_xlfn.IFS(L609="Retirement","Voluntary",L609="Resignation","Voluntary",L609="Layoff","InVoluntary")</f>
        <v>InVoluntary</v>
      </c>
      <c r="N609" s="4" t="s">
        <v>26</v>
      </c>
      <c r="O609" s="41"/>
      <c r="P609">
        <v>1</v>
      </c>
      <c r="Q609" t="s">
        <v>174</v>
      </c>
    </row>
    <row r="610" spans="1:17" x14ac:dyDescent="0.35">
      <c r="A610" s="4">
        <v>3940</v>
      </c>
      <c r="B610" s="5">
        <v>35072</v>
      </c>
      <c r="C610" s="5">
        <v>43914</v>
      </c>
      <c r="D610" s="4">
        <v>24</v>
      </c>
      <c r="E610" s="6" t="str" cm="1">
        <f t="array" ref="E610">_xlfn.IFS(D610&lt;=5,"Newcomer",AND(D610&gt;=6,D610&lt;=10),"Proficient",D610&gt;10,"Expert")</f>
        <v>Expert</v>
      </c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 t="str" cm="1">
        <f t="array" ref="M610">_xlfn.IFS(L610="Retirement","Voluntary",L610="Resignation","Voluntary",L610="Layoff","InVoluntary")</f>
        <v>InVoluntary</v>
      </c>
      <c r="N610" s="4" t="s">
        <v>26</v>
      </c>
      <c r="O610" s="41"/>
      <c r="P610">
        <v>1</v>
      </c>
      <c r="Q610" t="s">
        <v>174</v>
      </c>
    </row>
    <row r="611" spans="1:17" x14ac:dyDescent="0.35">
      <c r="A611" s="4">
        <v>3942</v>
      </c>
      <c r="B611" s="5">
        <v>36500</v>
      </c>
      <c r="C611" s="5">
        <v>43911</v>
      </c>
      <c r="D611" s="4">
        <v>21</v>
      </c>
      <c r="E611" s="6" t="str" cm="1">
        <f t="array" ref="E611">_xlfn.IFS(D611&lt;=5,"Newcomer",AND(D611&gt;=6,D611&lt;=10),"Proficient",D611&gt;10,"Expert")</f>
        <v>Expert</v>
      </c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 t="str" cm="1">
        <f t="array" ref="M611">_xlfn.IFS(L611="Retirement","Voluntary",L611="Resignation","Voluntary",L611="Layoff","InVoluntary")</f>
        <v>InVoluntary</v>
      </c>
      <c r="N611" s="4" t="s">
        <v>26</v>
      </c>
      <c r="O611" s="41"/>
      <c r="P611">
        <v>1</v>
      </c>
      <c r="Q611" t="s">
        <v>174</v>
      </c>
    </row>
    <row r="612" spans="1:17" x14ac:dyDescent="0.35">
      <c r="A612" s="4">
        <v>3960</v>
      </c>
      <c r="B612" s="5">
        <v>41981</v>
      </c>
      <c r="C612" s="5">
        <v>44140</v>
      </c>
      <c r="D612" s="4">
        <v>6</v>
      </c>
      <c r="E612" s="6" t="str" cm="1">
        <f t="array" ref="E612">_xlfn.IFS(D612&lt;=5,"Newcomer",AND(D612&gt;=6,D612&lt;=10),"Proficient",D612&gt;10,"Expert")</f>
        <v>Proficient</v>
      </c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 t="str" cm="1">
        <f t="array" ref="M612">_xlfn.IFS(L612="Retirement","Voluntary",L612="Resignation","Voluntary",L612="Layoff","InVoluntary")</f>
        <v>InVoluntary</v>
      </c>
      <c r="N612" s="4" t="s">
        <v>26</v>
      </c>
      <c r="O612" s="41"/>
      <c r="P612">
        <v>1</v>
      </c>
      <c r="Q612" t="s">
        <v>174</v>
      </c>
    </row>
    <row r="613" spans="1:17" x14ac:dyDescent="0.35">
      <c r="A613" s="4">
        <v>3964</v>
      </c>
      <c r="B613" s="5">
        <v>35095</v>
      </c>
      <c r="C613" s="5">
        <v>44110</v>
      </c>
      <c r="D613" s="4">
        <v>24</v>
      </c>
      <c r="E613" s="6" t="str" cm="1">
        <f t="array" ref="E613">_xlfn.IFS(D613&lt;=5,"Newcomer",AND(D613&gt;=6,D613&lt;=10),"Proficient",D613&gt;10,"Expert")</f>
        <v>Expert</v>
      </c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 t="str" cm="1">
        <f t="array" ref="M613">_xlfn.IFS(L613="Retirement","Voluntary",L613="Resignation","Voluntary",L613="Layoff","InVoluntary")</f>
        <v>InVoluntary</v>
      </c>
      <c r="N613" s="4" t="s">
        <v>26</v>
      </c>
      <c r="O613" s="41"/>
      <c r="P613">
        <v>1</v>
      </c>
      <c r="Q613" t="s">
        <v>174</v>
      </c>
    </row>
    <row r="614" spans="1:17" x14ac:dyDescent="0.35">
      <c r="A614" s="4">
        <v>3969</v>
      </c>
      <c r="B614" s="5">
        <v>35991</v>
      </c>
      <c r="C614" s="5">
        <v>44075</v>
      </c>
      <c r="D614" s="4">
        <v>22</v>
      </c>
      <c r="E614" s="6" t="str" cm="1">
        <f t="array" ref="E614">_xlfn.IFS(D614&lt;=5,"Newcomer",AND(D614&gt;=6,D614&lt;=10),"Proficient",D614&gt;10,"Expert")</f>
        <v>Expert</v>
      </c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 t="str" cm="1">
        <f t="array" ref="M614">_xlfn.IFS(L614="Retirement","Voluntary",L614="Resignation","Voluntary",L614="Layoff","InVoluntary")</f>
        <v>InVoluntary</v>
      </c>
      <c r="N614" s="4" t="s">
        <v>26</v>
      </c>
      <c r="O614" s="41"/>
      <c r="P614">
        <v>1</v>
      </c>
      <c r="Q614" t="s">
        <v>174</v>
      </c>
    </row>
    <row r="615" spans="1:17" x14ac:dyDescent="0.35">
      <c r="A615" s="4">
        <v>3970</v>
      </c>
      <c r="B615" s="5">
        <v>40277</v>
      </c>
      <c r="C615" s="5">
        <v>44167</v>
      </c>
      <c r="D615" s="4">
        <v>10</v>
      </c>
      <c r="E615" s="6" t="str" cm="1">
        <f t="array" ref="E615">_xlfn.IFS(D615&lt;=5,"Newcomer",AND(D615&gt;=6,D615&lt;=10),"Proficient",D615&gt;10,"Expert")</f>
        <v>Proficient</v>
      </c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 t="str" cm="1">
        <f t="array" ref="M615">_xlfn.IFS(L615="Retirement","Voluntary",L615="Resignation","Voluntary",L615="Layoff","InVoluntary")</f>
        <v>InVoluntary</v>
      </c>
      <c r="N615" s="4" t="s">
        <v>26</v>
      </c>
      <c r="O615" s="41"/>
      <c r="P615">
        <v>1</v>
      </c>
      <c r="Q615" t="s">
        <v>174</v>
      </c>
    </row>
    <row r="616" spans="1:17" x14ac:dyDescent="0.35">
      <c r="A616" s="4">
        <v>3977</v>
      </c>
      <c r="B616" s="5">
        <v>36081</v>
      </c>
      <c r="C616" s="5">
        <v>44159</v>
      </c>
      <c r="D616" s="4">
        <v>22</v>
      </c>
      <c r="E616" s="6" t="str" cm="1">
        <f t="array" ref="E616">_xlfn.IFS(D616&lt;=5,"Newcomer",AND(D616&gt;=6,D616&lt;=10),"Proficient",D616&gt;10,"Expert")</f>
        <v>Expert</v>
      </c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 t="str" cm="1">
        <f t="array" ref="M616">_xlfn.IFS(L616="Retirement","Voluntary",L616="Resignation","Voluntary",L616="Layoff","InVoluntary")</f>
        <v>InVoluntary</v>
      </c>
      <c r="N616" s="4" t="s">
        <v>26</v>
      </c>
      <c r="O616" s="41"/>
      <c r="P616">
        <v>1</v>
      </c>
      <c r="Q616" t="s">
        <v>174</v>
      </c>
    </row>
    <row r="617" spans="1:17" x14ac:dyDescent="0.35">
      <c r="A617" s="4">
        <v>3978</v>
      </c>
      <c r="B617" s="5">
        <v>38678</v>
      </c>
      <c r="C617" s="5">
        <v>43876</v>
      </c>
      <c r="D617" s="4">
        <v>15</v>
      </c>
      <c r="E617" s="6" t="str" cm="1">
        <f t="array" ref="E617">_xlfn.IFS(D617&lt;=5,"Newcomer",AND(D617&gt;=6,D617&lt;=10),"Proficient",D617&gt;10,"Expert")</f>
        <v>Expert</v>
      </c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 t="str" cm="1">
        <f t="array" ref="M617">_xlfn.IFS(L617="Retirement","Voluntary",L617="Resignation","Voluntary",L617="Layoff","InVoluntary")</f>
        <v>InVoluntary</v>
      </c>
      <c r="N617" s="4" t="s">
        <v>26</v>
      </c>
      <c r="O617" s="41"/>
      <c r="P617">
        <v>1</v>
      </c>
      <c r="Q617" t="s">
        <v>174</v>
      </c>
    </row>
    <row r="618" spans="1:17" x14ac:dyDescent="0.35">
      <c r="A618" s="4">
        <v>3985</v>
      </c>
      <c r="B618" s="5">
        <v>40491</v>
      </c>
      <c r="C618" s="5">
        <v>43976</v>
      </c>
      <c r="D618" s="4">
        <v>10</v>
      </c>
      <c r="E618" s="6" t="str" cm="1">
        <f t="array" ref="E618">_xlfn.IFS(D618&lt;=5,"Newcomer",AND(D618&gt;=6,D618&lt;=10),"Proficient",D618&gt;10,"Expert")</f>
        <v>Proficient</v>
      </c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 t="str" cm="1">
        <f t="array" ref="M618">_xlfn.IFS(L618="Retirement","Voluntary",L618="Resignation","Voluntary",L618="Layoff","InVoluntary")</f>
        <v>InVoluntary</v>
      </c>
      <c r="N618" s="4" t="s">
        <v>26</v>
      </c>
      <c r="O618" s="41"/>
      <c r="P618">
        <v>1</v>
      </c>
      <c r="Q618" t="s">
        <v>174</v>
      </c>
    </row>
    <row r="619" spans="1:17" x14ac:dyDescent="0.35">
      <c r="A619" s="4">
        <v>3987</v>
      </c>
      <c r="B619" s="5">
        <v>34056</v>
      </c>
      <c r="C619" s="5">
        <v>44138</v>
      </c>
      <c r="D619" s="4">
        <v>27</v>
      </c>
      <c r="E619" s="6" t="str" cm="1">
        <f t="array" ref="E619">_xlfn.IFS(D619&lt;=5,"Newcomer",AND(D619&gt;=6,D619&lt;=10),"Proficient",D619&gt;10,"Expert")</f>
        <v>Expert</v>
      </c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 t="str" cm="1">
        <f t="array" ref="M619">_xlfn.IFS(L619="Retirement","Voluntary",L619="Resignation","Voluntary",L619="Layoff","InVoluntary")</f>
        <v>InVoluntary</v>
      </c>
      <c r="N619" s="4" t="s">
        <v>26</v>
      </c>
      <c r="O619" s="41"/>
      <c r="P619">
        <v>1</v>
      </c>
      <c r="Q619" t="s">
        <v>174</v>
      </c>
    </row>
    <row r="620" spans="1:17" x14ac:dyDescent="0.35">
      <c r="A620" s="4">
        <v>3988</v>
      </c>
      <c r="B620" s="5">
        <v>41409</v>
      </c>
      <c r="C620" s="5">
        <v>44038</v>
      </c>
      <c r="D620" s="4">
        <v>7</v>
      </c>
      <c r="E620" s="6" t="str" cm="1">
        <f t="array" ref="E620">_xlfn.IFS(D620&lt;=5,"Newcomer",AND(D620&gt;=6,D620&lt;=10),"Proficient",D620&gt;10,"Expert")</f>
        <v>Proficient</v>
      </c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 t="str" cm="1">
        <f t="array" ref="M620">_xlfn.IFS(L620="Retirement","Voluntary",L620="Resignation","Voluntary",L620="Layoff","InVoluntary")</f>
        <v>InVoluntary</v>
      </c>
      <c r="N620" s="4" t="s">
        <v>26</v>
      </c>
      <c r="O620" s="41"/>
      <c r="P620">
        <v>1</v>
      </c>
      <c r="Q620" t="s">
        <v>174</v>
      </c>
    </row>
    <row r="621" spans="1:17" x14ac:dyDescent="0.35">
      <c r="A621" s="4">
        <v>3994</v>
      </c>
      <c r="B621" s="5">
        <v>40534</v>
      </c>
      <c r="C621" s="5">
        <v>44186</v>
      </c>
      <c r="D621" s="4">
        <v>10</v>
      </c>
      <c r="E621" s="6" t="str" cm="1">
        <f t="array" ref="E621">_xlfn.IFS(D621&lt;=5,"Newcomer",AND(D621&gt;=6,D621&lt;=10),"Proficient",D621&gt;10,"Expert")</f>
        <v>Proficient</v>
      </c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 t="str" cm="1">
        <f t="array" ref="M621">_xlfn.IFS(L621="Retirement","Voluntary",L621="Resignation","Voluntary",L621="Layoff","InVoluntary")</f>
        <v>InVoluntary</v>
      </c>
      <c r="N621" s="4" t="s">
        <v>26</v>
      </c>
      <c r="O621" s="41"/>
      <c r="P621">
        <v>1</v>
      </c>
      <c r="Q621" t="s">
        <v>174</v>
      </c>
    </row>
    <row r="622" spans="1:17" x14ac:dyDescent="0.35">
      <c r="A622" s="4">
        <v>3999</v>
      </c>
      <c r="B622" s="5">
        <v>35931</v>
      </c>
      <c r="C622" s="5">
        <v>44052</v>
      </c>
      <c r="D622" s="4">
        <v>22</v>
      </c>
      <c r="E622" s="6" t="str" cm="1">
        <f t="array" ref="E622">_xlfn.IFS(D622&lt;=5,"Newcomer",AND(D622&gt;=6,D622&lt;=10),"Proficient",D622&gt;10,"Expert")</f>
        <v>Expert</v>
      </c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 t="str" cm="1">
        <f t="array" ref="M622">_xlfn.IFS(L622="Retirement","Voluntary",L622="Resignation","Voluntary",L622="Layoff","InVoluntary")</f>
        <v>InVoluntary</v>
      </c>
      <c r="N622" s="4" t="s">
        <v>26</v>
      </c>
      <c r="O622" s="41"/>
      <c r="P622">
        <v>1</v>
      </c>
      <c r="Q622" t="s">
        <v>174</v>
      </c>
    </row>
    <row r="623" spans="1:17" x14ac:dyDescent="0.35">
      <c r="A623" s="4">
        <v>4014</v>
      </c>
      <c r="B623" s="5">
        <v>40378</v>
      </c>
      <c r="C623" s="5">
        <v>44150</v>
      </c>
      <c r="D623" s="4">
        <v>10</v>
      </c>
      <c r="E623" s="6" t="str" cm="1">
        <f t="array" ref="E623">_xlfn.IFS(D623&lt;=5,"Newcomer",AND(D623&gt;=6,D623&lt;=10),"Proficient",D623&gt;10,"Expert")</f>
        <v>Proficient</v>
      </c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 t="str" cm="1">
        <f t="array" ref="M623">_xlfn.IFS(L623="Retirement","Voluntary",L623="Resignation","Voluntary",L623="Layoff","InVoluntary")</f>
        <v>InVoluntary</v>
      </c>
      <c r="N623" s="4" t="s">
        <v>26</v>
      </c>
      <c r="O623" s="41"/>
      <c r="P623">
        <v>1</v>
      </c>
      <c r="Q623" t="s">
        <v>174</v>
      </c>
    </row>
    <row r="624" spans="1:17" x14ac:dyDescent="0.35">
      <c r="A624" s="4">
        <v>4018</v>
      </c>
      <c r="B624" s="5">
        <v>34550</v>
      </c>
      <c r="C624" s="5">
        <v>43842</v>
      </c>
      <c r="D624" s="4">
        <v>26</v>
      </c>
      <c r="E624" s="6" t="str" cm="1">
        <f t="array" ref="E624">_xlfn.IFS(D624&lt;=5,"Newcomer",AND(D624&gt;=6,D624&lt;=10),"Proficient",D624&gt;10,"Expert")</f>
        <v>Expert</v>
      </c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 t="str" cm="1">
        <f t="array" ref="M624">_xlfn.IFS(L624="Retirement","Voluntary",L624="Resignation","Voluntary",L624="Layoff","InVoluntary")</f>
        <v>InVoluntary</v>
      </c>
      <c r="N624" s="4" t="s">
        <v>26</v>
      </c>
      <c r="O624" s="41"/>
      <c r="P624">
        <v>1</v>
      </c>
      <c r="Q624" t="s">
        <v>174</v>
      </c>
    </row>
    <row r="625" spans="1:17" x14ac:dyDescent="0.35">
      <c r="A625" s="4">
        <v>4025</v>
      </c>
      <c r="B625" s="5">
        <v>39125</v>
      </c>
      <c r="C625" s="5">
        <v>43958</v>
      </c>
      <c r="D625" s="4">
        <v>13</v>
      </c>
      <c r="E625" s="6" t="str" cm="1">
        <f t="array" ref="E625">_xlfn.IFS(D625&lt;=5,"Newcomer",AND(D625&gt;=6,D625&lt;=10),"Proficient",D625&gt;10,"Expert")</f>
        <v>Expert</v>
      </c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 t="str" cm="1">
        <f t="array" ref="M625">_xlfn.IFS(L625="Retirement","Voluntary",L625="Resignation","Voluntary",L625="Layoff","InVoluntary")</f>
        <v>InVoluntary</v>
      </c>
      <c r="N625" s="4" t="s">
        <v>26</v>
      </c>
      <c r="O625" s="41"/>
      <c r="P625">
        <v>1</v>
      </c>
      <c r="Q625" t="s">
        <v>174</v>
      </c>
    </row>
    <row r="626" spans="1:17" x14ac:dyDescent="0.35">
      <c r="A626" s="4">
        <v>4030</v>
      </c>
      <c r="B626" s="5">
        <v>40514</v>
      </c>
      <c r="C626" s="5">
        <v>44039</v>
      </c>
      <c r="D626" s="4">
        <v>10</v>
      </c>
      <c r="E626" s="6" t="str" cm="1">
        <f t="array" ref="E626">_xlfn.IFS(D626&lt;=5,"Newcomer",AND(D626&gt;=6,D626&lt;=10),"Proficient",D626&gt;10,"Expert")</f>
        <v>Proficient</v>
      </c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 t="str" cm="1">
        <f t="array" ref="M626">_xlfn.IFS(L626="Retirement","Voluntary",L626="Resignation","Voluntary",L626="Layoff","InVoluntary")</f>
        <v>InVoluntary</v>
      </c>
      <c r="N626" s="4" t="s">
        <v>26</v>
      </c>
      <c r="O626" s="41"/>
      <c r="P626">
        <v>1</v>
      </c>
      <c r="Q626" t="s">
        <v>174</v>
      </c>
    </row>
    <row r="627" spans="1:17" x14ac:dyDescent="0.35">
      <c r="A627" s="4">
        <v>4039</v>
      </c>
      <c r="B627" s="5">
        <v>33168</v>
      </c>
      <c r="C627" s="5">
        <v>43850</v>
      </c>
      <c r="D627" s="4">
        <v>30</v>
      </c>
      <c r="E627" s="6" t="str" cm="1">
        <f t="array" ref="E627">_xlfn.IFS(D627&lt;=5,"Newcomer",AND(D627&gt;=6,D627&lt;=10),"Proficient",D627&gt;10,"Expert")</f>
        <v>Expert</v>
      </c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 t="str" cm="1">
        <f t="array" ref="M627">_xlfn.IFS(L627="Retirement","Voluntary",L627="Resignation","Voluntary",L627="Layoff","InVoluntary")</f>
        <v>InVoluntary</v>
      </c>
      <c r="N627" s="4" t="s">
        <v>26</v>
      </c>
      <c r="O627" s="41"/>
      <c r="P627">
        <v>1</v>
      </c>
      <c r="Q627" t="s">
        <v>174</v>
      </c>
    </row>
    <row r="628" spans="1:17" x14ac:dyDescent="0.35">
      <c r="A628" s="4">
        <v>4046</v>
      </c>
      <c r="B628" s="5">
        <v>39806</v>
      </c>
      <c r="C628" s="5">
        <v>43929</v>
      </c>
      <c r="D628" s="4">
        <v>12</v>
      </c>
      <c r="E628" s="6" t="str" cm="1">
        <f t="array" ref="E628">_xlfn.IFS(D628&lt;=5,"Newcomer",AND(D628&gt;=6,D628&lt;=10),"Proficient",D628&gt;10,"Expert")</f>
        <v>Expert</v>
      </c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 t="str" cm="1">
        <f t="array" ref="M628">_xlfn.IFS(L628="Retirement","Voluntary",L628="Resignation","Voluntary",L628="Layoff","InVoluntary")</f>
        <v>InVoluntary</v>
      </c>
      <c r="N628" s="4" t="s">
        <v>26</v>
      </c>
      <c r="O628" s="41"/>
      <c r="P628">
        <v>1</v>
      </c>
      <c r="Q628" t="s">
        <v>174</v>
      </c>
    </row>
    <row r="629" spans="1:17" x14ac:dyDescent="0.35">
      <c r="A629" s="4">
        <v>4049</v>
      </c>
      <c r="B629" s="5">
        <v>38556</v>
      </c>
      <c r="C629" s="5">
        <v>44176</v>
      </c>
      <c r="D629" s="4">
        <v>15</v>
      </c>
      <c r="E629" s="6" t="str" cm="1">
        <f t="array" ref="E629">_xlfn.IFS(D629&lt;=5,"Newcomer",AND(D629&gt;=6,D629&lt;=10),"Proficient",D629&gt;10,"Expert")</f>
        <v>Expert</v>
      </c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 t="str" cm="1">
        <f t="array" ref="M629">_xlfn.IFS(L629="Retirement","Voluntary",L629="Resignation","Voluntary",L629="Layoff","InVoluntary")</f>
        <v>InVoluntary</v>
      </c>
      <c r="N629" s="4" t="s">
        <v>26</v>
      </c>
      <c r="O629" s="41"/>
      <c r="P629">
        <v>1</v>
      </c>
      <c r="Q629" t="s">
        <v>174</v>
      </c>
    </row>
    <row r="630" spans="1:17" x14ac:dyDescent="0.35">
      <c r="A630" s="4">
        <v>4057</v>
      </c>
      <c r="B630" s="5">
        <v>41331</v>
      </c>
      <c r="C630" s="5">
        <v>44121</v>
      </c>
      <c r="D630" s="4">
        <v>7</v>
      </c>
      <c r="E630" s="6" t="str" cm="1">
        <f t="array" ref="E630">_xlfn.IFS(D630&lt;=5,"Newcomer",AND(D630&gt;=6,D630&lt;=10),"Proficient",D630&gt;10,"Expert")</f>
        <v>Proficient</v>
      </c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 t="str" cm="1">
        <f t="array" ref="M630">_xlfn.IFS(L630="Retirement","Voluntary",L630="Resignation","Voluntary",L630="Layoff","InVoluntary")</f>
        <v>InVoluntary</v>
      </c>
      <c r="N630" s="4" t="s">
        <v>26</v>
      </c>
      <c r="O630" s="41"/>
      <c r="P630">
        <v>1</v>
      </c>
      <c r="Q630" t="s">
        <v>174</v>
      </c>
    </row>
    <row r="631" spans="1:17" x14ac:dyDescent="0.35">
      <c r="A631" s="4">
        <v>4063</v>
      </c>
      <c r="B631" s="5">
        <v>38968</v>
      </c>
      <c r="C631" s="5">
        <v>43998</v>
      </c>
      <c r="D631" s="4">
        <v>14</v>
      </c>
      <c r="E631" s="6" t="str" cm="1">
        <f t="array" ref="E631">_xlfn.IFS(D631&lt;=5,"Newcomer",AND(D631&gt;=6,D631&lt;=10),"Proficient",D631&gt;10,"Expert")</f>
        <v>Expert</v>
      </c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 t="str" cm="1">
        <f t="array" ref="M631">_xlfn.IFS(L631="Retirement","Voluntary",L631="Resignation","Voluntary",L631="Layoff","InVoluntary")</f>
        <v>InVoluntary</v>
      </c>
      <c r="N631" s="4" t="s">
        <v>26</v>
      </c>
      <c r="O631" s="41"/>
      <c r="P631">
        <v>1</v>
      </c>
      <c r="Q631" t="s">
        <v>174</v>
      </c>
    </row>
    <row r="632" spans="1:17" x14ac:dyDescent="0.35">
      <c r="A632" s="4">
        <v>4065</v>
      </c>
      <c r="B632" s="5">
        <v>37224</v>
      </c>
      <c r="C632" s="5">
        <v>44102</v>
      </c>
      <c r="D632" s="4">
        <v>19</v>
      </c>
      <c r="E632" s="6" t="str" cm="1">
        <f t="array" ref="E632">_xlfn.IFS(D632&lt;=5,"Newcomer",AND(D632&gt;=6,D632&lt;=10),"Proficient",D632&gt;10,"Expert")</f>
        <v>Expert</v>
      </c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 t="str" cm="1">
        <f t="array" ref="M632">_xlfn.IFS(L632="Retirement","Voluntary",L632="Resignation","Voluntary",L632="Layoff","InVoluntary")</f>
        <v>Voluntary</v>
      </c>
      <c r="N632" s="4" t="s">
        <v>26</v>
      </c>
      <c r="O632" s="41"/>
      <c r="P632">
        <v>1</v>
      </c>
      <c r="Q632" t="s">
        <v>173</v>
      </c>
    </row>
    <row r="633" spans="1:17" x14ac:dyDescent="0.35">
      <c r="A633" s="4">
        <v>4075</v>
      </c>
      <c r="B633" s="5">
        <v>41603</v>
      </c>
      <c r="C633" s="5">
        <v>44091</v>
      </c>
      <c r="D633" s="4">
        <v>7</v>
      </c>
      <c r="E633" s="6" t="str" cm="1">
        <f t="array" ref="E633">_xlfn.IFS(D633&lt;=5,"Newcomer",AND(D633&gt;=6,D633&lt;=10),"Proficient",D633&gt;10,"Expert")</f>
        <v>Proficient</v>
      </c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 t="str" cm="1">
        <f t="array" ref="M633">_xlfn.IFS(L633="Retirement","Voluntary",L633="Resignation","Voluntary",L633="Layoff","InVoluntary")</f>
        <v>InVoluntary</v>
      </c>
      <c r="N633" s="4" t="s">
        <v>26</v>
      </c>
      <c r="O633" s="41"/>
      <c r="P633">
        <v>1</v>
      </c>
      <c r="Q633" t="s">
        <v>174</v>
      </c>
    </row>
    <row r="634" spans="1:17" x14ac:dyDescent="0.35">
      <c r="A634" s="4">
        <v>4082</v>
      </c>
      <c r="B634" s="5">
        <v>36591</v>
      </c>
      <c r="C634" s="5">
        <v>44069</v>
      </c>
      <c r="D634" s="4">
        <v>20</v>
      </c>
      <c r="E634" s="6" t="str" cm="1">
        <f t="array" ref="E634">_xlfn.IFS(D634&lt;=5,"Newcomer",AND(D634&gt;=6,D634&lt;=10),"Proficient",D634&gt;10,"Expert")</f>
        <v>Expert</v>
      </c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 t="str" cm="1">
        <f t="array" ref="M634">_xlfn.IFS(L634="Retirement","Voluntary",L634="Resignation","Voluntary",L634="Layoff","InVoluntary")</f>
        <v>InVoluntary</v>
      </c>
      <c r="N634" s="4" t="s">
        <v>26</v>
      </c>
      <c r="O634" s="41"/>
      <c r="P634">
        <v>1</v>
      </c>
      <c r="Q634" t="s">
        <v>174</v>
      </c>
    </row>
    <row r="635" spans="1:17" x14ac:dyDescent="0.35">
      <c r="A635" s="4">
        <v>4085</v>
      </c>
      <c r="B635" s="5">
        <v>36922</v>
      </c>
      <c r="C635" s="5">
        <v>44138</v>
      </c>
      <c r="D635" s="4">
        <v>19</v>
      </c>
      <c r="E635" s="6" t="str" cm="1">
        <f t="array" ref="E635">_xlfn.IFS(D635&lt;=5,"Newcomer",AND(D635&gt;=6,D635&lt;=10),"Proficient",D635&gt;10,"Expert")</f>
        <v>Expert</v>
      </c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 t="str" cm="1">
        <f t="array" ref="M635">_xlfn.IFS(L635="Retirement","Voluntary",L635="Resignation","Voluntary",L635="Layoff","InVoluntary")</f>
        <v>InVoluntary</v>
      </c>
      <c r="N635" s="4" t="s">
        <v>26</v>
      </c>
      <c r="O635" s="41"/>
      <c r="P635">
        <v>1</v>
      </c>
      <c r="Q635" t="s">
        <v>174</v>
      </c>
    </row>
    <row r="636" spans="1:17" x14ac:dyDescent="0.35">
      <c r="A636" s="4">
        <v>4091</v>
      </c>
      <c r="B636" s="5">
        <v>36332</v>
      </c>
      <c r="C636" s="5">
        <v>43981</v>
      </c>
      <c r="D636" s="4">
        <v>21</v>
      </c>
      <c r="E636" s="6" t="str" cm="1">
        <f t="array" ref="E636">_xlfn.IFS(D636&lt;=5,"Newcomer",AND(D636&gt;=6,D636&lt;=10),"Proficient",D636&gt;10,"Expert")</f>
        <v>Expert</v>
      </c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 t="str" cm="1">
        <f t="array" ref="M636">_xlfn.IFS(L636="Retirement","Voluntary",L636="Resignation","Voluntary",L636="Layoff","InVoluntary")</f>
        <v>InVoluntary</v>
      </c>
      <c r="N636" s="4" t="s">
        <v>26</v>
      </c>
      <c r="O636" s="41"/>
      <c r="P636">
        <v>1</v>
      </c>
      <c r="Q636" t="s">
        <v>174</v>
      </c>
    </row>
    <row r="637" spans="1:17" x14ac:dyDescent="0.35">
      <c r="A637" s="4">
        <v>4093</v>
      </c>
      <c r="B637" s="5">
        <v>37803</v>
      </c>
      <c r="C637" s="5">
        <v>44117</v>
      </c>
      <c r="D637" s="4">
        <v>17</v>
      </c>
      <c r="E637" s="6" t="str" cm="1">
        <f t="array" ref="E637">_xlfn.IFS(D637&lt;=5,"Newcomer",AND(D637&gt;=6,D637&lt;=10),"Proficient",D637&gt;10,"Expert")</f>
        <v>Expert</v>
      </c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 t="str" cm="1">
        <f t="array" ref="M637">_xlfn.IFS(L637="Retirement","Voluntary",L637="Resignation","Voluntary",L637="Layoff","InVoluntary")</f>
        <v>InVoluntary</v>
      </c>
      <c r="N637" s="4" t="s">
        <v>26</v>
      </c>
      <c r="O637" s="41"/>
      <c r="P637">
        <v>1</v>
      </c>
      <c r="Q637" t="s">
        <v>174</v>
      </c>
    </row>
    <row r="638" spans="1:17" x14ac:dyDescent="0.35">
      <c r="A638" s="4">
        <v>4098</v>
      </c>
      <c r="B638" s="5">
        <v>34657</v>
      </c>
      <c r="C638" s="5">
        <v>44061</v>
      </c>
      <c r="D638" s="4">
        <v>26</v>
      </c>
      <c r="E638" s="6" t="str" cm="1">
        <f t="array" ref="E638">_xlfn.IFS(D638&lt;=5,"Newcomer",AND(D638&gt;=6,D638&lt;=10),"Proficient",D638&gt;10,"Expert")</f>
        <v>Expert</v>
      </c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 t="str" cm="1">
        <f t="array" ref="M638">_xlfn.IFS(L638="Retirement","Voluntary",L638="Resignation","Voluntary",L638="Layoff","InVoluntary")</f>
        <v>InVoluntary</v>
      </c>
      <c r="N638" s="4" t="s">
        <v>26</v>
      </c>
      <c r="O638" s="41"/>
      <c r="P638">
        <v>1</v>
      </c>
      <c r="Q638" t="s">
        <v>174</v>
      </c>
    </row>
    <row r="639" spans="1:17" x14ac:dyDescent="0.35">
      <c r="A639" s="4">
        <v>4099</v>
      </c>
      <c r="B639" s="5">
        <v>36338</v>
      </c>
      <c r="C639" s="5">
        <v>43947</v>
      </c>
      <c r="D639" s="4">
        <v>21</v>
      </c>
      <c r="E639" s="6" t="str" cm="1">
        <f t="array" ref="E639">_xlfn.IFS(D639&lt;=5,"Newcomer",AND(D639&gt;=6,D639&lt;=10),"Proficient",D639&gt;10,"Expert")</f>
        <v>Expert</v>
      </c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 t="str" cm="1">
        <f t="array" ref="M639">_xlfn.IFS(L639="Retirement","Voluntary",L639="Resignation","Voluntary",L639="Layoff","InVoluntary")</f>
        <v>InVoluntary</v>
      </c>
      <c r="N639" s="4" t="s">
        <v>26</v>
      </c>
      <c r="O639" s="41"/>
      <c r="P639">
        <v>1</v>
      </c>
      <c r="Q639" t="s">
        <v>174</v>
      </c>
    </row>
    <row r="640" spans="1:17" x14ac:dyDescent="0.35">
      <c r="A640" s="4">
        <v>4103</v>
      </c>
      <c r="B640" s="5">
        <v>34539</v>
      </c>
      <c r="C640" s="5">
        <v>44032</v>
      </c>
      <c r="D640" s="4">
        <v>26</v>
      </c>
      <c r="E640" s="6" t="str" cm="1">
        <f t="array" ref="E640">_xlfn.IFS(D640&lt;=5,"Newcomer",AND(D640&gt;=6,D640&lt;=10),"Proficient",D640&gt;10,"Expert")</f>
        <v>Expert</v>
      </c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 t="str" cm="1">
        <f t="array" ref="M640">_xlfn.IFS(L640="Retirement","Voluntary",L640="Resignation","Voluntary",L640="Layoff","InVoluntary")</f>
        <v>InVoluntary</v>
      </c>
      <c r="N640" s="4" t="s">
        <v>26</v>
      </c>
      <c r="O640" s="41"/>
      <c r="P640">
        <v>1</v>
      </c>
      <c r="Q640" t="s">
        <v>174</v>
      </c>
    </row>
    <row r="641" spans="1:17" x14ac:dyDescent="0.35">
      <c r="A641" s="4">
        <v>4107</v>
      </c>
      <c r="B641" s="5">
        <v>34814</v>
      </c>
      <c r="C641" s="5">
        <v>43886</v>
      </c>
      <c r="D641" s="4">
        <v>25</v>
      </c>
      <c r="E641" s="6" t="str" cm="1">
        <f t="array" ref="E641">_xlfn.IFS(D641&lt;=5,"Newcomer",AND(D641&gt;=6,D641&lt;=10),"Proficient",D641&gt;10,"Expert")</f>
        <v>Expert</v>
      </c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 t="str" cm="1">
        <f t="array" ref="M641">_xlfn.IFS(L641="Retirement","Voluntary",L641="Resignation","Voluntary",L641="Layoff","InVoluntary")</f>
        <v>InVoluntary</v>
      </c>
      <c r="N641" s="4" t="s">
        <v>26</v>
      </c>
      <c r="O641" s="41"/>
      <c r="P641">
        <v>1</v>
      </c>
      <c r="Q641" t="s">
        <v>174</v>
      </c>
    </row>
    <row r="642" spans="1:17" x14ac:dyDescent="0.35">
      <c r="A642" s="4">
        <v>4110</v>
      </c>
      <c r="B642" s="5">
        <v>39341</v>
      </c>
      <c r="C642" s="5">
        <v>44167</v>
      </c>
      <c r="D642" s="4">
        <v>13</v>
      </c>
      <c r="E642" s="6" t="str" cm="1">
        <f t="array" ref="E642">_xlfn.IFS(D642&lt;=5,"Newcomer",AND(D642&gt;=6,D642&lt;=10),"Proficient",D642&gt;10,"Expert")</f>
        <v>Expert</v>
      </c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 t="str" cm="1">
        <f t="array" ref="M642">_xlfn.IFS(L642="Retirement","Voluntary",L642="Resignation","Voluntary",L642="Layoff","InVoluntary")</f>
        <v>InVoluntary</v>
      </c>
      <c r="N642" s="4" t="s">
        <v>26</v>
      </c>
      <c r="O642" s="41"/>
      <c r="P642">
        <v>1</v>
      </c>
      <c r="Q642" t="s">
        <v>174</v>
      </c>
    </row>
    <row r="643" spans="1:17" x14ac:dyDescent="0.35">
      <c r="A643" s="4">
        <v>4111</v>
      </c>
      <c r="B643" s="5">
        <v>35187</v>
      </c>
      <c r="C643" s="5">
        <v>44092</v>
      </c>
      <c r="D643" s="4">
        <v>24</v>
      </c>
      <c r="E643" s="6" t="str" cm="1">
        <f t="array" ref="E643">_xlfn.IFS(D643&lt;=5,"Newcomer",AND(D643&gt;=6,D643&lt;=10),"Proficient",D643&gt;10,"Expert")</f>
        <v>Expert</v>
      </c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 t="str" cm="1">
        <f t="array" ref="M643">_xlfn.IFS(L643="Retirement","Voluntary",L643="Resignation","Voluntary",L643="Layoff","InVoluntary")</f>
        <v>InVoluntary</v>
      </c>
      <c r="N643" s="4" t="s">
        <v>26</v>
      </c>
      <c r="O643" s="41"/>
      <c r="P643">
        <v>1</v>
      </c>
      <c r="Q643" t="s">
        <v>174</v>
      </c>
    </row>
    <row r="644" spans="1:17" x14ac:dyDescent="0.35">
      <c r="A644" s="4">
        <v>4115</v>
      </c>
      <c r="B644" s="5">
        <v>34753</v>
      </c>
      <c r="C644" s="5">
        <v>43968</v>
      </c>
      <c r="D644" s="4">
        <v>25</v>
      </c>
      <c r="E644" s="6" t="str" cm="1">
        <f t="array" ref="E644">_xlfn.IFS(D644&lt;=5,"Newcomer",AND(D644&gt;=6,D644&lt;=10),"Proficient",D644&gt;10,"Expert")</f>
        <v>Expert</v>
      </c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 t="str" cm="1">
        <f t="array" ref="M644">_xlfn.IFS(L644="Retirement","Voluntary",L644="Resignation","Voluntary",L644="Layoff","InVoluntary")</f>
        <v>InVoluntary</v>
      </c>
      <c r="N644" s="4" t="s">
        <v>26</v>
      </c>
      <c r="O644" s="41"/>
      <c r="P644">
        <v>1</v>
      </c>
      <c r="Q644" t="s">
        <v>174</v>
      </c>
    </row>
    <row r="645" spans="1:17" x14ac:dyDescent="0.35">
      <c r="A645" s="4">
        <v>4116</v>
      </c>
      <c r="B645" s="5">
        <v>33065</v>
      </c>
      <c r="C645" s="5">
        <v>44105</v>
      </c>
      <c r="D645" s="4">
        <v>30</v>
      </c>
      <c r="E645" s="6" t="str" cm="1">
        <f t="array" ref="E645">_xlfn.IFS(D645&lt;=5,"Newcomer",AND(D645&gt;=6,D645&lt;=10),"Proficient",D645&gt;10,"Expert")</f>
        <v>Expert</v>
      </c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 t="str" cm="1">
        <f t="array" ref="M645">_xlfn.IFS(L645="Retirement","Voluntary",L645="Resignation","Voluntary",L645="Layoff","InVoluntary")</f>
        <v>InVoluntary</v>
      </c>
      <c r="N645" s="4" t="s">
        <v>26</v>
      </c>
      <c r="O645" s="41"/>
      <c r="P645">
        <v>1</v>
      </c>
      <c r="Q645" t="s">
        <v>174</v>
      </c>
    </row>
    <row r="646" spans="1:17" x14ac:dyDescent="0.35">
      <c r="A646" s="4">
        <v>4118</v>
      </c>
      <c r="B646" s="5">
        <v>37824</v>
      </c>
      <c r="C646" s="5">
        <v>43957</v>
      </c>
      <c r="D646" s="4">
        <v>17</v>
      </c>
      <c r="E646" s="6" t="str" cm="1">
        <f t="array" ref="E646">_xlfn.IFS(D646&lt;=5,"Newcomer",AND(D646&gt;=6,D646&lt;=10),"Proficient",D646&gt;10,"Expert")</f>
        <v>Expert</v>
      </c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 t="str" cm="1">
        <f t="array" ref="M646">_xlfn.IFS(L646="Retirement","Voluntary",L646="Resignation","Voluntary",L646="Layoff","InVoluntary")</f>
        <v>InVoluntary</v>
      </c>
      <c r="N646" s="4" t="s">
        <v>26</v>
      </c>
      <c r="O646" s="41"/>
      <c r="P646">
        <v>1</v>
      </c>
      <c r="Q646" t="s">
        <v>174</v>
      </c>
    </row>
    <row r="647" spans="1:17" x14ac:dyDescent="0.35">
      <c r="A647" s="4">
        <v>4125</v>
      </c>
      <c r="B647" s="5">
        <v>35095</v>
      </c>
      <c r="C647" s="5">
        <v>44126</v>
      </c>
      <c r="D647" s="4">
        <v>24</v>
      </c>
      <c r="E647" s="6" t="str" cm="1">
        <f t="array" ref="E647">_xlfn.IFS(D647&lt;=5,"Newcomer",AND(D647&gt;=6,D647&lt;=10),"Proficient",D647&gt;10,"Expert")</f>
        <v>Expert</v>
      </c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 t="str" cm="1">
        <f t="array" ref="M647">_xlfn.IFS(L647="Retirement","Voluntary",L647="Resignation","Voluntary",L647="Layoff","InVoluntary")</f>
        <v>InVoluntary</v>
      </c>
      <c r="N647" s="4" t="s">
        <v>26</v>
      </c>
      <c r="O647" s="41"/>
      <c r="P647">
        <v>1</v>
      </c>
      <c r="Q647" t="s">
        <v>174</v>
      </c>
    </row>
    <row r="648" spans="1:17" x14ac:dyDescent="0.35">
      <c r="A648" s="4">
        <v>4128</v>
      </c>
      <c r="B648" s="5">
        <v>35049</v>
      </c>
      <c r="C648" s="5">
        <v>43862</v>
      </c>
      <c r="D648" s="4">
        <v>25</v>
      </c>
      <c r="E648" s="6" t="str" cm="1">
        <f t="array" ref="E648">_xlfn.IFS(D648&lt;=5,"Newcomer",AND(D648&gt;=6,D648&lt;=10),"Proficient",D648&gt;10,"Expert")</f>
        <v>Expert</v>
      </c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 t="str" cm="1">
        <f t="array" ref="M648">_xlfn.IFS(L648="Retirement","Voluntary",L648="Resignation","Voluntary",L648="Layoff","InVoluntary")</f>
        <v>InVoluntary</v>
      </c>
      <c r="N648" s="4" t="s">
        <v>26</v>
      </c>
      <c r="O648" s="41"/>
      <c r="P648">
        <v>1</v>
      </c>
      <c r="Q648" t="s">
        <v>174</v>
      </c>
    </row>
    <row r="649" spans="1:17" x14ac:dyDescent="0.35">
      <c r="A649" s="4">
        <v>4129</v>
      </c>
      <c r="B649" s="5">
        <v>40499</v>
      </c>
      <c r="C649" s="5">
        <v>44081</v>
      </c>
      <c r="D649" s="4">
        <v>10</v>
      </c>
      <c r="E649" s="6" t="str" cm="1">
        <f t="array" ref="E649">_xlfn.IFS(D649&lt;=5,"Newcomer",AND(D649&gt;=6,D649&lt;=10),"Proficient",D649&gt;10,"Expert")</f>
        <v>Proficient</v>
      </c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 t="str" cm="1">
        <f t="array" ref="M649">_xlfn.IFS(L649="Retirement","Voluntary",L649="Resignation","Voluntary",L649="Layoff","InVoluntary")</f>
        <v>InVoluntary</v>
      </c>
      <c r="N649" s="4" t="s">
        <v>26</v>
      </c>
      <c r="O649" s="41"/>
      <c r="P649">
        <v>1</v>
      </c>
      <c r="Q649" t="s">
        <v>174</v>
      </c>
    </row>
    <row r="650" spans="1:17" x14ac:dyDescent="0.35">
      <c r="A650" s="4">
        <v>4131</v>
      </c>
      <c r="B650" s="5">
        <v>39923</v>
      </c>
      <c r="C650" s="5">
        <v>43899</v>
      </c>
      <c r="D650" s="4">
        <v>11</v>
      </c>
      <c r="E650" s="6" t="str" cm="1">
        <f t="array" ref="E650">_xlfn.IFS(D650&lt;=5,"Newcomer",AND(D650&gt;=6,D650&lt;=10),"Proficient",D650&gt;10,"Expert")</f>
        <v>Expert</v>
      </c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 t="str" cm="1">
        <f t="array" ref="M650">_xlfn.IFS(L650="Retirement","Voluntary",L650="Resignation","Voluntary",L650="Layoff","InVoluntary")</f>
        <v>InVoluntary</v>
      </c>
      <c r="N650" s="4" t="s">
        <v>26</v>
      </c>
      <c r="O650" s="41"/>
      <c r="P650">
        <v>1</v>
      </c>
      <c r="Q650" t="s">
        <v>174</v>
      </c>
    </row>
    <row r="651" spans="1:17" x14ac:dyDescent="0.35">
      <c r="A651" s="4">
        <v>4133</v>
      </c>
      <c r="B651" s="5">
        <v>35361</v>
      </c>
      <c r="C651" s="5">
        <v>44083</v>
      </c>
      <c r="D651" s="4">
        <v>24</v>
      </c>
      <c r="E651" s="6" t="str" cm="1">
        <f t="array" ref="E651">_xlfn.IFS(D651&lt;=5,"Newcomer",AND(D651&gt;=6,D651&lt;=10),"Proficient",D651&gt;10,"Expert")</f>
        <v>Expert</v>
      </c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 t="str" cm="1">
        <f t="array" ref="M651">_xlfn.IFS(L651="Retirement","Voluntary",L651="Resignation","Voluntary",L651="Layoff","InVoluntary")</f>
        <v>Voluntary</v>
      </c>
      <c r="N651" s="4" t="s">
        <v>26</v>
      </c>
      <c r="O651" s="41"/>
      <c r="P651">
        <v>1</v>
      </c>
      <c r="Q651" t="s">
        <v>173</v>
      </c>
    </row>
    <row r="652" spans="1:17" x14ac:dyDescent="0.35">
      <c r="A652" s="4">
        <v>4134</v>
      </c>
      <c r="B652" s="5">
        <v>36767</v>
      </c>
      <c r="C652" s="5">
        <v>44009</v>
      </c>
      <c r="D652" s="4">
        <v>20</v>
      </c>
      <c r="E652" s="6" t="str" cm="1">
        <f t="array" ref="E652">_xlfn.IFS(D652&lt;=5,"Newcomer",AND(D652&gt;=6,D652&lt;=10),"Proficient",D652&gt;10,"Expert")</f>
        <v>Expert</v>
      </c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 t="str" cm="1">
        <f t="array" ref="M652">_xlfn.IFS(L652="Retirement","Voluntary",L652="Resignation","Voluntary",L652="Layoff","InVoluntary")</f>
        <v>InVoluntary</v>
      </c>
      <c r="N652" s="4" t="s">
        <v>26</v>
      </c>
      <c r="O652" s="41"/>
      <c r="P652">
        <v>1</v>
      </c>
      <c r="Q652" t="s">
        <v>174</v>
      </c>
    </row>
    <row r="653" spans="1:17" x14ac:dyDescent="0.35">
      <c r="A653" s="4">
        <v>4135</v>
      </c>
      <c r="B653" s="5">
        <v>37511</v>
      </c>
      <c r="C653" s="5">
        <v>44044</v>
      </c>
      <c r="D653" s="4">
        <v>18</v>
      </c>
      <c r="E653" s="6" t="str" cm="1">
        <f t="array" ref="E653">_xlfn.IFS(D653&lt;=5,"Newcomer",AND(D653&gt;=6,D653&lt;=10),"Proficient",D653&gt;10,"Expert")</f>
        <v>Expert</v>
      </c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 t="str" cm="1">
        <f t="array" ref="M653">_xlfn.IFS(L653="Retirement","Voluntary",L653="Resignation","Voluntary",L653="Layoff","InVoluntary")</f>
        <v>InVoluntary</v>
      </c>
      <c r="N653" s="4" t="s">
        <v>26</v>
      </c>
      <c r="O653" s="41"/>
      <c r="P653">
        <v>1</v>
      </c>
      <c r="Q653" t="s">
        <v>174</v>
      </c>
    </row>
    <row r="654" spans="1:17" x14ac:dyDescent="0.35">
      <c r="A654" s="4">
        <v>4138</v>
      </c>
      <c r="B654" s="5">
        <v>41311</v>
      </c>
      <c r="C654" s="5">
        <v>44019</v>
      </c>
      <c r="D654" s="4">
        <v>7</v>
      </c>
      <c r="E654" s="6" t="str" cm="1">
        <f t="array" ref="E654">_xlfn.IFS(D654&lt;=5,"Newcomer",AND(D654&gt;=6,D654&lt;=10),"Proficient",D654&gt;10,"Expert")</f>
        <v>Proficient</v>
      </c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 t="str" cm="1">
        <f t="array" ref="M654">_xlfn.IFS(L654="Retirement","Voluntary",L654="Resignation","Voluntary",L654="Layoff","InVoluntary")</f>
        <v>InVoluntary</v>
      </c>
      <c r="N654" s="4" t="s">
        <v>26</v>
      </c>
      <c r="O654" s="41"/>
      <c r="P654">
        <v>1</v>
      </c>
      <c r="Q654" t="s">
        <v>174</v>
      </c>
    </row>
    <row r="655" spans="1:17" x14ac:dyDescent="0.35">
      <c r="A655" s="4">
        <v>4140</v>
      </c>
      <c r="B655" s="5">
        <v>38985</v>
      </c>
      <c r="C655" s="5">
        <v>44130</v>
      </c>
      <c r="D655" s="4">
        <v>14</v>
      </c>
      <c r="E655" s="6" t="str" cm="1">
        <f t="array" ref="E655">_xlfn.IFS(D655&lt;=5,"Newcomer",AND(D655&gt;=6,D655&lt;=10),"Proficient",D655&gt;10,"Expert")</f>
        <v>Expert</v>
      </c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 t="str" cm="1">
        <f t="array" ref="M655">_xlfn.IFS(L655="Retirement","Voluntary",L655="Resignation","Voluntary",L655="Layoff","InVoluntary")</f>
        <v>InVoluntary</v>
      </c>
      <c r="N655" s="4" t="s">
        <v>26</v>
      </c>
      <c r="O655" s="41"/>
      <c r="P655">
        <v>1</v>
      </c>
      <c r="Q655" t="s">
        <v>174</v>
      </c>
    </row>
    <row r="656" spans="1:17" x14ac:dyDescent="0.35">
      <c r="A656" s="4">
        <v>4141</v>
      </c>
      <c r="B656" s="5">
        <v>36554</v>
      </c>
      <c r="C656" s="5">
        <v>44063</v>
      </c>
      <c r="D656" s="4">
        <v>20</v>
      </c>
      <c r="E656" s="6" t="str" cm="1">
        <f t="array" ref="E656">_xlfn.IFS(D656&lt;=5,"Newcomer",AND(D656&gt;=6,D656&lt;=10),"Proficient",D656&gt;10,"Expert")</f>
        <v>Expert</v>
      </c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 t="str" cm="1">
        <f t="array" ref="M656">_xlfn.IFS(L656="Retirement","Voluntary",L656="Resignation","Voluntary",L656="Layoff","InVoluntary")</f>
        <v>InVoluntary</v>
      </c>
      <c r="N656" s="4" t="s">
        <v>26</v>
      </c>
      <c r="O656" s="41"/>
      <c r="P656">
        <v>1</v>
      </c>
      <c r="Q656" t="s">
        <v>174</v>
      </c>
    </row>
    <row r="657" spans="1:17" x14ac:dyDescent="0.35">
      <c r="A657" s="4">
        <v>4142</v>
      </c>
      <c r="B657" s="5">
        <v>33264</v>
      </c>
      <c r="C657" s="5">
        <v>44114</v>
      </c>
      <c r="D657" s="4">
        <v>29</v>
      </c>
      <c r="E657" s="6" t="str" cm="1">
        <f t="array" ref="E657">_xlfn.IFS(D657&lt;=5,"Newcomer",AND(D657&gt;=6,D657&lt;=10),"Proficient",D657&gt;10,"Expert")</f>
        <v>Expert</v>
      </c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 t="str" cm="1">
        <f t="array" ref="M657">_xlfn.IFS(L657="Retirement","Voluntary",L657="Resignation","Voluntary",L657="Layoff","InVoluntary")</f>
        <v>InVoluntary</v>
      </c>
      <c r="N657" s="4" t="s">
        <v>26</v>
      </c>
      <c r="O657" s="41"/>
      <c r="P657">
        <v>1</v>
      </c>
      <c r="Q657" t="s">
        <v>174</v>
      </c>
    </row>
    <row r="658" spans="1:17" x14ac:dyDescent="0.35">
      <c r="A658" s="4">
        <v>4143</v>
      </c>
      <c r="B658" s="5">
        <v>41521</v>
      </c>
      <c r="C658" s="5">
        <v>43950</v>
      </c>
      <c r="D658" s="4">
        <v>7</v>
      </c>
      <c r="E658" s="6" t="str" cm="1">
        <f t="array" ref="E658">_xlfn.IFS(D658&lt;=5,"Newcomer",AND(D658&gt;=6,D658&lt;=10),"Proficient",D658&gt;10,"Expert")</f>
        <v>Proficient</v>
      </c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 t="str" cm="1">
        <f t="array" ref="M658">_xlfn.IFS(L658="Retirement","Voluntary",L658="Resignation","Voluntary",L658="Layoff","InVoluntary")</f>
        <v>InVoluntary</v>
      </c>
      <c r="N658" s="4" t="s">
        <v>26</v>
      </c>
      <c r="O658" s="41"/>
      <c r="P658">
        <v>1</v>
      </c>
      <c r="Q658" t="s">
        <v>174</v>
      </c>
    </row>
    <row r="659" spans="1:17" x14ac:dyDescent="0.35">
      <c r="A659" s="4">
        <v>4146</v>
      </c>
      <c r="B659" s="5">
        <v>36224</v>
      </c>
      <c r="C659" s="5">
        <v>44021</v>
      </c>
      <c r="D659" s="4">
        <v>21</v>
      </c>
      <c r="E659" s="6" t="str" cm="1">
        <f t="array" ref="E659">_xlfn.IFS(D659&lt;=5,"Newcomer",AND(D659&gt;=6,D659&lt;=10),"Proficient",D659&gt;10,"Expert")</f>
        <v>Expert</v>
      </c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 t="str" cm="1">
        <f t="array" ref="M659">_xlfn.IFS(L659="Retirement","Voluntary",L659="Resignation","Voluntary",L659="Layoff","InVoluntary")</f>
        <v>InVoluntary</v>
      </c>
      <c r="N659" s="4" t="s">
        <v>26</v>
      </c>
      <c r="O659" s="41"/>
      <c r="P659">
        <v>1</v>
      </c>
      <c r="Q659" t="s">
        <v>174</v>
      </c>
    </row>
    <row r="660" spans="1:17" x14ac:dyDescent="0.35">
      <c r="A660" s="4">
        <v>4149</v>
      </c>
      <c r="B660" s="5">
        <v>35546</v>
      </c>
      <c r="C660" s="5">
        <v>44144</v>
      </c>
      <c r="D660" s="4">
        <v>23</v>
      </c>
      <c r="E660" s="6" t="str" cm="1">
        <f t="array" ref="E660">_xlfn.IFS(D660&lt;=5,"Newcomer",AND(D660&gt;=6,D660&lt;=10),"Proficient",D660&gt;10,"Expert")</f>
        <v>Expert</v>
      </c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 t="str" cm="1">
        <f t="array" ref="M660">_xlfn.IFS(L660="Retirement","Voluntary",L660="Resignation","Voluntary",L660="Layoff","InVoluntary")</f>
        <v>InVoluntary</v>
      </c>
      <c r="N660" s="4" t="s">
        <v>26</v>
      </c>
      <c r="O660" s="41"/>
      <c r="P660">
        <v>1</v>
      </c>
      <c r="Q660" t="s">
        <v>174</v>
      </c>
    </row>
    <row r="661" spans="1:17" x14ac:dyDescent="0.35">
      <c r="A661" s="4">
        <v>4150</v>
      </c>
      <c r="B661" s="5">
        <v>39950</v>
      </c>
      <c r="C661" s="5">
        <v>43848</v>
      </c>
      <c r="D661" s="4">
        <v>11</v>
      </c>
      <c r="E661" s="6" t="str" cm="1">
        <f t="array" ref="E661">_xlfn.IFS(D661&lt;=5,"Newcomer",AND(D661&gt;=6,D661&lt;=10),"Proficient",D661&gt;10,"Expert")</f>
        <v>Expert</v>
      </c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 t="str" cm="1">
        <f t="array" ref="M661">_xlfn.IFS(L661="Retirement","Voluntary",L661="Resignation","Voluntary",L661="Layoff","InVoluntary")</f>
        <v>InVoluntary</v>
      </c>
      <c r="N661" s="4" t="s">
        <v>26</v>
      </c>
      <c r="O661" s="41"/>
      <c r="P661">
        <v>1</v>
      </c>
      <c r="Q661" t="s">
        <v>174</v>
      </c>
    </row>
    <row r="662" spans="1:17" x14ac:dyDescent="0.35">
      <c r="A662" s="4">
        <v>4157</v>
      </c>
      <c r="B662" s="5">
        <v>40995</v>
      </c>
      <c r="C662" s="5">
        <v>44128</v>
      </c>
      <c r="D662" s="4">
        <v>8</v>
      </c>
      <c r="E662" s="6" t="str" cm="1">
        <f t="array" ref="E662">_xlfn.IFS(D662&lt;=5,"Newcomer",AND(D662&gt;=6,D662&lt;=10),"Proficient",D662&gt;10,"Expert")</f>
        <v>Proficient</v>
      </c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 t="str" cm="1">
        <f t="array" ref="M662">_xlfn.IFS(L662="Retirement","Voluntary",L662="Resignation","Voluntary",L662="Layoff","InVoluntary")</f>
        <v>InVoluntary</v>
      </c>
      <c r="N662" s="4" t="s">
        <v>26</v>
      </c>
      <c r="O662" s="41"/>
      <c r="P662">
        <v>1</v>
      </c>
      <c r="Q662" t="s">
        <v>174</v>
      </c>
    </row>
    <row r="663" spans="1:17" x14ac:dyDescent="0.35">
      <c r="A663" s="4">
        <v>4158</v>
      </c>
      <c r="B663" s="5">
        <v>41169</v>
      </c>
      <c r="C663" s="5">
        <v>43944</v>
      </c>
      <c r="D663" s="4">
        <v>8</v>
      </c>
      <c r="E663" s="6" t="str" cm="1">
        <f t="array" ref="E663">_xlfn.IFS(D663&lt;=5,"Newcomer",AND(D663&gt;=6,D663&lt;=10),"Proficient",D663&gt;10,"Expert")</f>
        <v>Proficient</v>
      </c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 t="str" cm="1">
        <f t="array" ref="M663">_xlfn.IFS(L663="Retirement","Voluntary",L663="Resignation","Voluntary",L663="Layoff","InVoluntary")</f>
        <v>InVoluntary</v>
      </c>
      <c r="N663" s="4" t="s">
        <v>26</v>
      </c>
      <c r="O663" s="41"/>
      <c r="P663">
        <v>1</v>
      </c>
      <c r="Q663" t="s">
        <v>174</v>
      </c>
    </row>
    <row r="664" spans="1:17" x14ac:dyDescent="0.35">
      <c r="A664" s="4">
        <v>4159</v>
      </c>
      <c r="B664" s="5">
        <v>41659</v>
      </c>
      <c r="C664" s="5">
        <v>44175</v>
      </c>
      <c r="D664" s="4">
        <v>6</v>
      </c>
      <c r="E664" s="6" t="str" cm="1">
        <f t="array" ref="E664">_xlfn.IFS(D664&lt;=5,"Newcomer",AND(D664&gt;=6,D664&lt;=10),"Proficient",D664&gt;10,"Expert")</f>
        <v>Proficient</v>
      </c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 t="str" cm="1">
        <f t="array" ref="M664">_xlfn.IFS(L664="Retirement","Voluntary",L664="Resignation","Voluntary",L664="Layoff","InVoluntary")</f>
        <v>InVoluntary</v>
      </c>
      <c r="N664" s="4" t="s">
        <v>26</v>
      </c>
      <c r="O664" s="41"/>
      <c r="P664">
        <v>1</v>
      </c>
      <c r="Q664" t="s">
        <v>174</v>
      </c>
    </row>
    <row r="665" spans="1:17" x14ac:dyDescent="0.35">
      <c r="A665" s="4">
        <v>4162</v>
      </c>
      <c r="B665" s="5">
        <v>40008</v>
      </c>
      <c r="C665" s="5">
        <v>44147</v>
      </c>
      <c r="D665" s="4">
        <v>11</v>
      </c>
      <c r="E665" s="6" t="str" cm="1">
        <f t="array" ref="E665">_xlfn.IFS(D665&lt;=5,"Newcomer",AND(D665&gt;=6,D665&lt;=10),"Proficient",D665&gt;10,"Expert")</f>
        <v>Expert</v>
      </c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 t="str" cm="1">
        <f t="array" ref="M665">_xlfn.IFS(L665="Retirement","Voluntary",L665="Resignation","Voluntary",L665="Layoff","InVoluntary")</f>
        <v>InVoluntary</v>
      </c>
      <c r="N665" s="4" t="s">
        <v>26</v>
      </c>
      <c r="O665" s="41"/>
      <c r="P665">
        <v>1</v>
      </c>
      <c r="Q665" t="s">
        <v>174</v>
      </c>
    </row>
    <row r="666" spans="1:17" x14ac:dyDescent="0.35">
      <c r="A666" s="4">
        <v>4166</v>
      </c>
      <c r="B666" s="5">
        <v>37105</v>
      </c>
      <c r="C666" s="5">
        <v>44183</v>
      </c>
      <c r="D666" s="4">
        <v>19</v>
      </c>
      <c r="E666" s="6" t="str" cm="1">
        <f t="array" ref="E666">_xlfn.IFS(D666&lt;=5,"Newcomer",AND(D666&gt;=6,D666&lt;=10),"Proficient",D666&gt;10,"Expert")</f>
        <v>Expert</v>
      </c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 t="str" cm="1">
        <f t="array" ref="M666">_xlfn.IFS(L666="Retirement","Voluntary",L666="Resignation","Voluntary",L666="Layoff","InVoluntary")</f>
        <v>Voluntary</v>
      </c>
      <c r="N666" s="4" t="s">
        <v>26</v>
      </c>
      <c r="O666" s="41"/>
      <c r="P666">
        <v>1</v>
      </c>
      <c r="Q666" t="s">
        <v>173</v>
      </c>
    </row>
    <row r="667" spans="1:17" x14ac:dyDescent="0.35">
      <c r="A667" s="4">
        <v>4169</v>
      </c>
      <c r="B667" s="5">
        <v>39546</v>
      </c>
      <c r="C667" s="5">
        <v>44163</v>
      </c>
      <c r="D667" s="4">
        <v>12</v>
      </c>
      <c r="E667" s="6" t="str" cm="1">
        <f t="array" ref="E667">_xlfn.IFS(D667&lt;=5,"Newcomer",AND(D667&gt;=6,D667&lt;=10),"Proficient",D667&gt;10,"Expert")</f>
        <v>Expert</v>
      </c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 t="str" cm="1">
        <f t="array" ref="M667">_xlfn.IFS(L667="Retirement","Voluntary",L667="Resignation","Voluntary",L667="Layoff","InVoluntary")</f>
        <v>InVoluntary</v>
      </c>
      <c r="N667" s="4" t="s">
        <v>26</v>
      </c>
      <c r="O667" s="41"/>
      <c r="P667">
        <v>1</v>
      </c>
      <c r="Q667" t="s">
        <v>174</v>
      </c>
    </row>
    <row r="668" spans="1:17" x14ac:dyDescent="0.35">
      <c r="A668" s="4">
        <v>4175</v>
      </c>
      <c r="B668" s="5">
        <v>35960</v>
      </c>
      <c r="C668" s="5">
        <v>43922</v>
      </c>
      <c r="D668" s="4">
        <v>22</v>
      </c>
      <c r="E668" s="6" t="str" cm="1">
        <f t="array" ref="E668">_xlfn.IFS(D668&lt;=5,"Newcomer",AND(D668&gt;=6,D668&lt;=10),"Proficient",D668&gt;10,"Expert")</f>
        <v>Expert</v>
      </c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 t="str" cm="1">
        <f t="array" ref="M668">_xlfn.IFS(L668="Retirement","Voluntary",L668="Resignation","Voluntary",L668="Layoff","InVoluntary")</f>
        <v>InVoluntary</v>
      </c>
      <c r="N668" s="4" t="s">
        <v>26</v>
      </c>
      <c r="O668" s="41"/>
      <c r="P668">
        <v>1</v>
      </c>
      <c r="Q668" t="s">
        <v>174</v>
      </c>
    </row>
    <row r="669" spans="1:17" x14ac:dyDescent="0.35">
      <c r="A669" s="4">
        <v>4176</v>
      </c>
      <c r="B669" s="5">
        <v>33297</v>
      </c>
      <c r="C669" s="5">
        <v>44187</v>
      </c>
      <c r="D669" s="4">
        <v>29</v>
      </c>
      <c r="E669" s="6" t="str" cm="1">
        <f t="array" ref="E669">_xlfn.IFS(D669&lt;=5,"Newcomer",AND(D669&gt;=6,D669&lt;=10),"Proficient",D669&gt;10,"Expert")</f>
        <v>Expert</v>
      </c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 t="str" cm="1">
        <f t="array" ref="M669">_xlfn.IFS(L669="Retirement","Voluntary",L669="Resignation","Voluntary",L669="Layoff","InVoluntary")</f>
        <v>InVoluntary</v>
      </c>
      <c r="N669" s="4" t="s">
        <v>26</v>
      </c>
      <c r="O669" s="41"/>
      <c r="P669">
        <v>1</v>
      </c>
      <c r="Q669" t="s">
        <v>174</v>
      </c>
    </row>
    <row r="670" spans="1:17" x14ac:dyDescent="0.35">
      <c r="A670" s="4">
        <v>4179</v>
      </c>
      <c r="B670" s="5">
        <v>41667</v>
      </c>
      <c r="C670" s="5">
        <v>44058</v>
      </c>
      <c r="D670" s="4">
        <v>6</v>
      </c>
      <c r="E670" s="6" t="str" cm="1">
        <f t="array" ref="E670">_xlfn.IFS(D670&lt;=5,"Newcomer",AND(D670&gt;=6,D670&lt;=10),"Proficient",D670&gt;10,"Expert")</f>
        <v>Proficient</v>
      </c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 t="str" cm="1">
        <f t="array" ref="M670">_xlfn.IFS(L670="Retirement","Voluntary",L670="Resignation","Voluntary",L670="Layoff","InVoluntary")</f>
        <v>InVoluntary</v>
      </c>
      <c r="N670" s="4" t="s">
        <v>26</v>
      </c>
      <c r="O670" s="41"/>
      <c r="P670">
        <v>1</v>
      </c>
      <c r="Q670" t="s">
        <v>174</v>
      </c>
    </row>
    <row r="671" spans="1:17" x14ac:dyDescent="0.35">
      <c r="A671" s="4">
        <v>4182</v>
      </c>
      <c r="B671" s="5">
        <v>32984</v>
      </c>
      <c r="C671" s="5">
        <v>44194</v>
      </c>
      <c r="D671" s="4">
        <v>30</v>
      </c>
      <c r="E671" s="6" t="str" cm="1">
        <f t="array" ref="E671">_xlfn.IFS(D671&lt;=5,"Newcomer",AND(D671&gt;=6,D671&lt;=10),"Proficient",D671&gt;10,"Expert")</f>
        <v>Expert</v>
      </c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 t="str" cm="1">
        <f t="array" ref="M671">_xlfn.IFS(L671="Retirement","Voluntary",L671="Resignation","Voluntary",L671="Layoff","InVoluntary")</f>
        <v>InVoluntary</v>
      </c>
      <c r="N671" s="4" t="s">
        <v>26</v>
      </c>
      <c r="O671" s="41"/>
      <c r="P671">
        <v>1</v>
      </c>
      <c r="Q671" t="s">
        <v>174</v>
      </c>
    </row>
    <row r="672" spans="1:17" x14ac:dyDescent="0.35">
      <c r="A672" s="4">
        <v>4183</v>
      </c>
      <c r="B672" s="5">
        <v>33438</v>
      </c>
      <c r="C672" s="5">
        <v>44061</v>
      </c>
      <c r="D672" s="4">
        <v>29</v>
      </c>
      <c r="E672" s="6" t="str" cm="1">
        <f t="array" ref="E672">_xlfn.IFS(D672&lt;=5,"Newcomer",AND(D672&gt;=6,D672&lt;=10),"Proficient",D672&gt;10,"Expert")</f>
        <v>Expert</v>
      </c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 t="str" cm="1">
        <f t="array" ref="M672">_xlfn.IFS(L672="Retirement","Voluntary",L672="Resignation","Voluntary",L672="Layoff","InVoluntary")</f>
        <v>Voluntary</v>
      </c>
      <c r="N672" s="4" t="s">
        <v>26</v>
      </c>
      <c r="O672" s="41"/>
      <c r="P672">
        <v>1</v>
      </c>
      <c r="Q672" t="s">
        <v>173</v>
      </c>
    </row>
    <row r="673" spans="1:17" x14ac:dyDescent="0.35">
      <c r="A673" s="4">
        <v>4199</v>
      </c>
      <c r="B673" s="5">
        <v>38525</v>
      </c>
      <c r="C673" s="5">
        <v>44097</v>
      </c>
      <c r="D673" s="4">
        <v>15</v>
      </c>
      <c r="E673" s="6" t="str" cm="1">
        <f t="array" ref="E673">_xlfn.IFS(D673&lt;=5,"Newcomer",AND(D673&gt;=6,D673&lt;=10),"Proficient",D673&gt;10,"Expert")</f>
        <v>Expert</v>
      </c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 t="str" cm="1">
        <f t="array" ref="M673">_xlfn.IFS(L673="Retirement","Voluntary",L673="Resignation","Voluntary",L673="Layoff","InVoluntary")</f>
        <v>InVoluntary</v>
      </c>
      <c r="N673" s="4" t="s">
        <v>26</v>
      </c>
      <c r="O673" s="41"/>
      <c r="P673">
        <v>1</v>
      </c>
      <c r="Q673" t="s">
        <v>174</v>
      </c>
    </row>
    <row r="674" spans="1:17" x14ac:dyDescent="0.35">
      <c r="A674" s="4">
        <v>4203</v>
      </c>
      <c r="B674" s="5">
        <v>37346</v>
      </c>
      <c r="C674" s="5">
        <v>44173</v>
      </c>
      <c r="D674" s="4">
        <v>18</v>
      </c>
      <c r="E674" s="6" t="str" cm="1">
        <f t="array" ref="E674">_xlfn.IFS(D674&lt;=5,"Newcomer",AND(D674&gt;=6,D674&lt;=10),"Proficient",D674&gt;10,"Expert")</f>
        <v>Expert</v>
      </c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 t="str" cm="1">
        <f t="array" ref="M674">_xlfn.IFS(L674="Retirement","Voluntary",L674="Resignation","Voluntary",L674="Layoff","InVoluntary")</f>
        <v>InVoluntary</v>
      </c>
      <c r="N674" s="4" t="s">
        <v>26</v>
      </c>
      <c r="O674" s="41"/>
      <c r="P674">
        <v>1</v>
      </c>
      <c r="Q674" t="s">
        <v>174</v>
      </c>
    </row>
    <row r="675" spans="1:17" x14ac:dyDescent="0.35">
      <c r="A675" s="4">
        <v>4210</v>
      </c>
      <c r="B675" s="5">
        <v>37056</v>
      </c>
      <c r="C675" s="5">
        <v>43946</v>
      </c>
      <c r="D675" s="4">
        <v>19</v>
      </c>
      <c r="E675" s="6" t="str" cm="1">
        <f t="array" ref="E675">_xlfn.IFS(D675&lt;=5,"Newcomer",AND(D675&gt;=6,D675&lt;=10),"Proficient",D675&gt;10,"Expert")</f>
        <v>Expert</v>
      </c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 t="str" cm="1">
        <f t="array" ref="M675">_xlfn.IFS(L675="Retirement","Voluntary",L675="Resignation","Voluntary",L675="Layoff","InVoluntary")</f>
        <v>InVoluntary</v>
      </c>
      <c r="N675" s="4" t="s">
        <v>26</v>
      </c>
      <c r="O675" s="41"/>
      <c r="P675">
        <v>1</v>
      </c>
      <c r="Q675" t="s">
        <v>174</v>
      </c>
    </row>
    <row r="676" spans="1:17" x14ac:dyDescent="0.35">
      <c r="A676" s="4">
        <v>4212</v>
      </c>
      <c r="B676" s="5">
        <v>36356</v>
      </c>
      <c r="C676" s="5">
        <v>44157</v>
      </c>
      <c r="D676" s="4">
        <v>21</v>
      </c>
      <c r="E676" s="6" t="str" cm="1">
        <f t="array" ref="E676">_xlfn.IFS(D676&lt;=5,"Newcomer",AND(D676&gt;=6,D676&lt;=10),"Proficient",D676&gt;10,"Expert")</f>
        <v>Expert</v>
      </c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 t="str" cm="1">
        <f t="array" ref="M676">_xlfn.IFS(L676="Retirement","Voluntary",L676="Resignation","Voluntary",L676="Layoff","InVoluntary")</f>
        <v>InVoluntary</v>
      </c>
      <c r="N676" s="4" t="s">
        <v>26</v>
      </c>
      <c r="O676" s="41"/>
      <c r="P676">
        <v>1</v>
      </c>
      <c r="Q676" t="s">
        <v>174</v>
      </c>
    </row>
    <row r="677" spans="1:17" x14ac:dyDescent="0.35">
      <c r="A677" s="4">
        <v>4215</v>
      </c>
      <c r="B677" s="5">
        <v>33931</v>
      </c>
      <c r="C677" s="5">
        <v>43860</v>
      </c>
      <c r="D677" s="4">
        <v>28</v>
      </c>
      <c r="E677" s="6" t="str" cm="1">
        <f t="array" ref="E677">_xlfn.IFS(D677&lt;=5,"Newcomer",AND(D677&gt;=6,D677&lt;=10),"Proficient",D677&gt;10,"Expert")</f>
        <v>Expert</v>
      </c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 t="str" cm="1">
        <f t="array" ref="M677">_xlfn.IFS(L677="Retirement","Voluntary",L677="Resignation","Voluntary",L677="Layoff","InVoluntary")</f>
        <v>InVoluntary</v>
      </c>
      <c r="N677" s="4" t="s">
        <v>26</v>
      </c>
      <c r="O677" s="41"/>
      <c r="P677">
        <v>1</v>
      </c>
      <c r="Q677" t="s">
        <v>174</v>
      </c>
    </row>
    <row r="678" spans="1:17" x14ac:dyDescent="0.35">
      <c r="A678" s="4">
        <v>4221</v>
      </c>
      <c r="B678" s="5">
        <v>35895</v>
      </c>
      <c r="C678" s="5">
        <v>43869</v>
      </c>
      <c r="D678" s="4">
        <v>22</v>
      </c>
      <c r="E678" s="6" t="str" cm="1">
        <f t="array" ref="E678">_xlfn.IFS(D678&lt;=5,"Newcomer",AND(D678&gt;=6,D678&lt;=10),"Proficient",D678&gt;10,"Expert")</f>
        <v>Expert</v>
      </c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 t="str" cm="1">
        <f t="array" ref="M678">_xlfn.IFS(L678="Retirement","Voluntary",L678="Resignation","Voluntary",L678="Layoff","InVoluntary")</f>
        <v>InVoluntary</v>
      </c>
      <c r="N678" s="4" t="s">
        <v>26</v>
      </c>
      <c r="O678" s="41"/>
      <c r="P678">
        <v>1</v>
      </c>
      <c r="Q678" t="s">
        <v>174</v>
      </c>
    </row>
    <row r="679" spans="1:17" x14ac:dyDescent="0.35">
      <c r="A679" s="4">
        <v>4223</v>
      </c>
      <c r="B679" s="5">
        <v>37808</v>
      </c>
      <c r="C679" s="5">
        <v>44139</v>
      </c>
      <c r="D679" s="4">
        <v>17</v>
      </c>
      <c r="E679" s="6" t="str" cm="1">
        <f t="array" ref="E679">_xlfn.IFS(D679&lt;=5,"Newcomer",AND(D679&gt;=6,D679&lt;=10),"Proficient",D679&gt;10,"Expert")</f>
        <v>Expert</v>
      </c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 t="str" cm="1">
        <f t="array" ref="M679">_xlfn.IFS(L679="Retirement","Voluntary",L679="Resignation","Voluntary",L679="Layoff","InVoluntary")</f>
        <v>InVoluntary</v>
      </c>
      <c r="N679" s="4" t="s">
        <v>26</v>
      </c>
      <c r="O679" s="41"/>
      <c r="P679">
        <v>1</v>
      </c>
      <c r="Q679" t="s">
        <v>174</v>
      </c>
    </row>
    <row r="680" spans="1:17" x14ac:dyDescent="0.35">
      <c r="A680" s="4">
        <v>4230</v>
      </c>
      <c r="B680" s="5">
        <v>38369</v>
      </c>
      <c r="C680" s="5">
        <v>43862</v>
      </c>
      <c r="D680" s="4">
        <v>15</v>
      </c>
      <c r="E680" s="6" t="str" cm="1">
        <f t="array" ref="E680">_xlfn.IFS(D680&lt;=5,"Newcomer",AND(D680&gt;=6,D680&lt;=10),"Proficient",D680&gt;10,"Expert")</f>
        <v>Expert</v>
      </c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 t="str" cm="1">
        <f t="array" ref="M680">_xlfn.IFS(L680="Retirement","Voluntary",L680="Resignation","Voluntary",L680="Layoff","InVoluntary")</f>
        <v>InVoluntary</v>
      </c>
      <c r="N680" s="4" t="s">
        <v>26</v>
      </c>
      <c r="O680" s="41"/>
      <c r="P680">
        <v>1</v>
      </c>
      <c r="Q680" t="s">
        <v>174</v>
      </c>
    </row>
    <row r="681" spans="1:17" x14ac:dyDescent="0.35">
      <c r="A681" s="4">
        <v>4232</v>
      </c>
      <c r="B681" s="5">
        <v>41496</v>
      </c>
      <c r="C681" s="5">
        <v>44119</v>
      </c>
      <c r="D681" s="4">
        <v>7</v>
      </c>
      <c r="E681" s="6" t="str" cm="1">
        <f t="array" ref="E681">_xlfn.IFS(D681&lt;=5,"Newcomer",AND(D681&gt;=6,D681&lt;=10),"Proficient",D681&gt;10,"Expert")</f>
        <v>Proficient</v>
      </c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 t="str" cm="1">
        <f t="array" ref="M681">_xlfn.IFS(L681="Retirement","Voluntary",L681="Resignation","Voluntary",L681="Layoff","InVoluntary")</f>
        <v>InVoluntary</v>
      </c>
      <c r="N681" s="4" t="s">
        <v>26</v>
      </c>
      <c r="O681" s="41"/>
      <c r="P681">
        <v>1</v>
      </c>
      <c r="Q681" t="s">
        <v>174</v>
      </c>
    </row>
    <row r="682" spans="1:17" x14ac:dyDescent="0.35">
      <c r="A682" s="4">
        <v>4234</v>
      </c>
      <c r="B682" s="5">
        <v>38466</v>
      </c>
      <c r="C682" s="5">
        <v>43855</v>
      </c>
      <c r="D682" s="4">
        <v>15</v>
      </c>
      <c r="E682" s="6" t="str" cm="1">
        <f t="array" ref="E682">_xlfn.IFS(D682&lt;=5,"Newcomer",AND(D682&gt;=6,D682&lt;=10),"Proficient",D682&gt;10,"Expert")</f>
        <v>Expert</v>
      </c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 t="str" cm="1">
        <f t="array" ref="M682">_xlfn.IFS(L682="Retirement","Voluntary",L682="Resignation","Voluntary",L682="Layoff","InVoluntary")</f>
        <v>InVoluntary</v>
      </c>
      <c r="N682" s="4" t="s">
        <v>26</v>
      </c>
      <c r="O682" s="41"/>
      <c r="P682">
        <v>1</v>
      </c>
      <c r="Q682" t="s">
        <v>174</v>
      </c>
    </row>
    <row r="683" spans="1:17" x14ac:dyDescent="0.35">
      <c r="A683" s="4">
        <v>4235</v>
      </c>
      <c r="B683" s="5">
        <v>34594</v>
      </c>
      <c r="C683" s="5">
        <v>43851</v>
      </c>
      <c r="D683" s="4">
        <v>26</v>
      </c>
      <c r="E683" s="6" t="str" cm="1">
        <f t="array" ref="E683">_xlfn.IFS(D683&lt;=5,"Newcomer",AND(D683&gt;=6,D683&lt;=10),"Proficient",D683&gt;10,"Expert")</f>
        <v>Expert</v>
      </c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 t="str" cm="1">
        <f t="array" ref="M683">_xlfn.IFS(L683="Retirement","Voluntary",L683="Resignation","Voluntary",L683="Layoff","InVoluntary")</f>
        <v>InVoluntary</v>
      </c>
      <c r="N683" s="4" t="s">
        <v>26</v>
      </c>
      <c r="O683" s="41"/>
      <c r="P683">
        <v>1</v>
      </c>
      <c r="Q683" t="s">
        <v>174</v>
      </c>
    </row>
    <row r="684" spans="1:17" x14ac:dyDescent="0.35">
      <c r="A684" s="4">
        <v>4237</v>
      </c>
      <c r="B684" s="5">
        <v>37468</v>
      </c>
      <c r="C684" s="5">
        <v>44009</v>
      </c>
      <c r="D684" s="4">
        <v>18</v>
      </c>
      <c r="E684" s="6" t="str" cm="1">
        <f t="array" ref="E684">_xlfn.IFS(D684&lt;=5,"Newcomer",AND(D684&gt;=6,D684&lt;=10),"Proficient",D684&gt;10,"Expert")</f>
        <v>Expert</v>
      </c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 t="str" cm="1">
        <f t="array" ref="M684">_xlfn.IFS(L684="Retirement","Voluntary",L684="Resignation","Voluntary",L684="Layoff","InVoluntary")</f>
        <v>InVoluntary</v>
      </c>
      <c r="N684" s="4" t="s">
        <v>26</v>
      </c>
      <c r="O684" s="41"/>
      <c r="P684">
        <v>1</v>
      </c>
      <c r="Q684" t="s">
        <v>174</v>
      </c>
    </row>
    <row r="685" spans="1:17" x14ac:dyDescent="0.35">
      <c r="A685" s="4">
        <v>4238</v>
      </c>
      <c r="B685" s="5">
        <v>35082</v>
      </c>
      <c r="C685" s="5">
        <v>44183</v>
      </c>
      <c r="D685" s="4">
        <v>24</v>
      </c>
      <c r="E685" s="6" t="str" cm="1">
        <f t="array" ref="E685">_xlfn.IFS(D685&lt;=5,"Newcomer",AND(D685&gt;=6,D685&lt;=10),"Proficient",D685&gt;10,"Expert")</f>
        <v>Expert</v>
      </c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 t="str" cm="1">
        <f t="array" ref="M685">_xlfn.IFS(L685="Retirement","Voluntary",L685="Resignation","Voluntary",L685="Layoff","InVoluntary")</f>
        <v>InVoluntary</v>
      </c>
      <c r="N685" s="4" t="s">
        <v>26</v>
      </c>
      <c r="O685" s="41"/>
      <c r="P685">
        <v>1</v>
      </c>
      <c r="Q685" t="s">
        <v>174</v>
      </c>
    </row>
    <row r="686" spans="1:17" x14ac:dyDescent="0.35">
      <c r="A686" s="4">
        <v>4239</v>
      </c>
      <c r="B686" s="5">
        <v>34234</v>
      </c>
      <c r="C686" s="5">
        <v>44118</v>
      </c>
      <c r="D686" s="4">
        <v>27</v>
      </c>
      <c r="E686" s="6" t="str" cm="1">
        <f t="array" ref="E686">_xlfn.IFS(D686&lt;=5,"Newcomer",AND(D686&gt;=6,D686&lt;=10),"Proficient",D686&gt;10,"Expert")</f>
        <v>Expert</v>
      </c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 t="str" cm="1">
        <f t="array" ref="M686">_xlfn.IFS(L686="Retirement","Voluntary",L686="Resignation","Voluntary",L686="Layoff","InVoluntary")</f>
        <v>Voluntary</v>
      </c>
      <c r="N686" s="4" t="s">
        <v>26</v>
      </c>
      <c r="O686" s="41"/>
      <c r="P686">
        <v>1</v>
      </c>
      <c r="Q686" t="s">
        <v>173</v>
      </c>
    </row>
    <row r="687" spans="1:17" x14ac:dyDescent="0.35">
      <c r="A687" s="4">
        <v>4242</v>
      </c>
      <c r="B687" s="5">
        <v>40884</v>
      </c>
      <c r="C687" s="5">
        <v>43955</v>
      </c>
      <c r="D687" s="4">
        <v>9</v>
      </c>
      <c r="E687" s="6" t="str" cm="1">
        <f t="array" ref="E687">_xlfn.IFS(D687&lt;=5,"Newcomer",AND(D687&gt;=6,D687&lt;=10),"Proficient",D687&gt;10,"Expert")</f>
        <v>Proficient</v>
      </c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 t="str" cm="1">
        <f t="array" ref="M687">_xlfn.IFS(L687="Retirement","Voluntary",L687="Resignation","Voluntary",L687="Layoff","InVoluntary")</f>
        <v>Voluntary</v>
      </c>
      <c r="N687" s="4" t="s">
        <v>26</v>
      </c>
      <c r="O687" s="41"/>
      <c r="P687">
        <v>1</v>
      </c>
      <c r="Q687" t="s">
        <v>173</v>
      </c>
    </row>
    <row r="688" spans="1:17" x14ac:dyDescent="0.35">
      <c r="A688" s="4">
        <v>4248</v>
      </c>
      <c r="B688" s="5">
        <v>37392</v>
      </c>
      <c r="C688" s="5">
        <v>44161</v>
      </c>
      <c r="D688" s="4">
        <v>18</v>
      </c>
      <c r="E688" s="6" t="str" cm="1">
        <f t="array" ref="E688">_xlfn.IFS(D688&lt;=5,"Newcomer",AND(D688&gt;=6,D688&lt;=10),"Proficient",D688&gt;10,"Expert")</f>
        <v>Expert</v>
      </c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 t="str" cm="1">
        <f t="array" ref="M688">_xlfn.IFS(L688="Retirement","Voluntary",L688="Resignation","Voluntary",L688="Layoff","InVoluntary")</f>
        <v>InVoluntary</v>
      </c>
      <c r="N688" s="4" t="s">
        <v>26</v>
      </c>
      <c r="O688" s="41"/>
      <c r="P688">
        <v>1</v>
      </c>
      <c r="Q688" t="s">
        <v>174</v>
      </c>
    </row>
    <row r="689" spans="1:17" x14ac:dyDescent="0.35">
      <c r="A689" s="4">
        <v>4250</v>
      </c>
      <c r="B689" s="5">
        <v>33034</v>
      </c>
      <c r="C689" s="5">
        <v>44153</v>
      </c>
      <c r="D689" s="4">
        <v>30</v>
      </c>
      <c r="E689" s="6" t="str" cm="1">
        <f t="array" ref="E689">_xlfn.IFS(D689&lt;=5,"Newcomer",AND(D689&gt;=6,D689&lt;=10),"Proficient",D689&gt;10,"Expert")</f>
        <v>Expert</v>
      </c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 t="str" cm="1">
        <f t="array" ref="M689">_xlfn.IFS(L689="Retirement","Voluntary",L689="Resignation","Voluntary",L689="Layoff","InVoluntary")</f>
        <v>InVoluntary</v>
      </c>
      <c r="N689" s="4" t="s">
        <v>26</v>
      </c>
      <c r="O689" s="41"/>
      <c r="P689">
        <v>1</v>
      </c>
      <c r="Q689" t="s">
        <v>174</v>
      </c>
    </row>
    <row r="690" spans="1:17" x14ac:dyDescent="0.35">
      <c r="A690" s="4">
        <v>4252</v>
      </c>
      <c r="B690" s="5">
        <v>41369</v>
      </c>
      <c r="C690" s="5">
        <v>44072</v>
      </c>
      <c r="D690" s="4">
        <v>7</v>
      </c>
      <c r="E690" s="6" t="str" cm="1">
        <f t="array" ref="E690">_xlfn.IFS(D690&lt;=5,"Newcomer",AND(D690&gt;=6,D690&lt;=10),"Proficient",D690&gt;10,"Expert")</f>
        <v>Proficient</v>
      </c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 t="str" cm="1">
        <f t="array" ref="M690">_xlfn.IFS(L690="Retirement","Voluntary",L690="Resignation","Voluntary",L690="Layoff","InVoluntary")</f>
        <v>InVoluntary</v>
      </c>
      <c r="N690" s="4" t="s">
        <v>26</v>
      </c>
      <c r="O690" s="41"/>
      <c r="P690">
        <v>1</v>
      </c>
      <c r="Q690" t="s">
        <v>174</v>
      </c>
    </row>
    <row r="691" spans="1:17" x14ac:dyDescent="0.35">
      <c r="A691" s="4">
        <v>4254</v>
      </c>
      <c r="B691" s="5">
        <v>36097</v>
      </c>
      <c r="C691" s="5">
        <v>43857</v>
      </c>
      <c r="D691" s="4">
        <v>22</v>
      </c>
      <c r="E691" s="6" t="str" cm="1">
        <f t="array" ref="E691">_xlfn.IFS(D691&lt;=5,"Newcomer",AND(D691&gt;=6,D691&lt;=10),"Proficient",D691&gt;10,"Expert")</f>
        <v>Expert</v>
      </c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 t="str" cm="1">
        <f t="array" ref="M691">_xlfn.IFS(L691="Retirement","Voluntary",L691="Resignation","Voluntary",L691="Layoff","InVoluntary")</f>
        <v>InVoluntary</v>
      </c>
      <c r="N691" s="4" t="s">
        <v>26</v>
      </c>
      <c r="O691" s="41"/>
      <c r="P691">
        <v>1</v>
      </c>
      <c r="Q691" t="s">
        <v>174</v>
      </c>
    </row>
    <row r="692" spans="1:17" x14ac:dyDescent="0.35">
      <c r="A692" s="4">
        <v>4259</v>
      </c>
      <c r="B692" s="5">
        <v>39436</v>
      </c>
      <c r="C692" s="5">
        <v>44026</v>
      </c>
      <c r="D692" s="4">
        <v>13</v>
      </c>
      <c r="E692" s="6" t="str" cm="1">
        <f t="array" ref="E692">_xlfn.IFS(D692&lt;=5,"Newcomer",AND(D692&gt;=6,D692&lt;=10),"Proficient",D692&gt;10,"Expert")</f>
        <v>Expert</v>
      </c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 t="str" cm="1">
        <f t="array" ref="M692">_xlfn.IFS(L692="Retirement","Voluntary",L692="Resignation","Voluntary",L692="Layoff","InVoluntary")</f>
        <v>InVoluntary</v>
      </c>
      <c r="N692" s="4" t="s">
        <v>26</v>
      </c>
      <c r="O692" s="41"/>
      <c r="P692">
        <v>1</v>
      </c>
      <c r="Q692" t="s">
        <v>174</v>
      </c>
    </row>
    <row r="693" spans="1:17" x14ac:dyDescent="0.35">
      <c r="A693" s="4">
        <v>4262</v>
      </c>
      <c r="B693" s="5">
        <v>39060</v>
      </c>
      <c r="C693" s="5">
        <v>44109</v>
      </c>
      <c r="D693" s="4">
        <v>14</v>
      </c>
      <c r="E693" s="6" t="str" cm="1">
        <f t="array" ref="E693">_xlfn.IFS(D693&lt;=5,"Newcomer",AND(D693&gt;=6,D693&lt;=10),"Proficient",D693&gt;10,"Expert")</f>
        <v>Expert</v>
      </c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 t="str" cm="1">
        <f t="array" ref="M693">_xlfn.IFS(L693="Retirement","Voluntary",L693="Resignation","Voluntary",L693="Layoff","InVoluntary")</f>
        <v>InVoluntary</v>
      </c>
      <c r="N693" s="4" t="s">
        <v>26</v>
      </c>
      <c r="O693" s="41"/>
      <c r="P693">
        <v>1</v>
      </c>
      <c r="Q693" t="s">
        <v>174</v>
      </c>
    </row>
    <row r="694" spans="1:17" x14ac:dyDescent="0.35">
      <c r="A694" s="4">
        <v>4263</v>
      </c>
      <c r="B694" s="5">
        <v>33954</v>
      </c>
      <c r="C694" s="5">
        <v>43930</v>
      </c>
      <c r="D694" s="4">
        <v>28</v>
      </c>
      <c r="E694" s="6" t="str" cm="1">
        <f t="array" ref="E694">_xlfn.IFS(D694&lt;=5,"Newcomer",AND(D694&gt;=6,D694&lt;=10),"Proficient",D694&gt;10,"Expert")</f>
        <v>Expert</v>
      </c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 t="str" cm="1">
        <f t="array" ref="M694">_xlfn.IFS(L694="Retirement","Voluntary",L694="Resignation","Voluntary",L694="Layoff","InVoluntary")</f>
        <v>InVoluntary</v>
      </c>
      <c r="N694" s="4" t="s">
        <v>26</v>
      </c>
      <c r="O694" s="41"/>
      <c r="P694">
        <v>1</v>
      </c>
      <c r="Q694" t="s">
        <v>174</v>
      </c>
    </row>
    <row r="695" spans="1:17" x14ac:dyDescent="0.35">
      <c r="A695" s="4">
        <v>4265</v>
      </c>
      <c r="B695" s="5">
        <v>36029</v>
      </c>
      <c r="C695" s="5">
        <v>44171</v>
      </c>
      <c r="D695" s="4">
        <v>22</v>
      </c>
      <c r="E695" s="6" t="str" cm="1">
        <f t="array" ref="E695">_xlfn.IFS(D695&lt;=5,"Newcomer",AND(D695&gt;=6,D695&lt;=10),"Proficient",D695&gt;10,"Expert")</f>
        <v>Expert</v>
      </c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 t="str" cm="1">
        <f t="array" ref="M695">_xlfn.IFS(L695="Retirement","Voluntary",L695="Resignation","Voluntary",L695="Layoff","InVoluntary")</f>
        <v>InVoluntary</v>
      </c>
      <c r="N695" s="4" t="s">
        <v>26</v>
      </c>
      <c r="O695" s="41"/>
      <c r="P695">
        <v>1</v>
      </c>
      <c r="Q695" t="s">
        <v>174</v>
      </c>
    </row>
    <row r="696" spans="1:17" x14ac:dyDescent="0.35">
      <c r="A696" s="4">
        <v>4271</v>
      </c>
      <c r="B696" s="5">
        <v>41300</v>
      </c>
      <c r="C696" s="5">
        <v>44044</v>
      </c>
      <c r="D696" s="4">
        <v>7</v>
      </c>
      <c r="E696" s="6" t="str" cm="1">
        <f t="array" ref="E696">_xlfn.IFS(D696&lt;=5,"Newcomer",AND(D696&gt;=6,D696&lt;=10),"Proficient",D696&gt;10,"Expert")</f>
        <v>Proficient</v>
      </c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 t="str" cm="1">
        <f t="array" ref="M696">_xlfn.IFS(L696="Retirement","Voluntary",L696="Resignation","Voluntary",L696="Layoff","InVoluntary")</f>
        <v>InVoluntary</v>
      </c>
      <c r="N696" s="4" t="s">
        <v>26</v>
      </c>
      <c r="O696" s="41"/>
      <c r="P696">
        <v>1</v>
      </c>
      <c r="Q696" t="s">
        <v>174</v>
      </c>
    </row>
    <row r="697" spans="1:17" x14ac:dyDescent="0.35">
      <c r="A697" s="4">
        <v>4272</v>
      </c>
      <c r="B697" s="5">
        <v>33045</v>
      </c>
      <c r="C697" s="5">
        <v>44130</v>
      </c>
      <c r="D697" s="4">
        <v>30</v>
      </c>
      <c r="E697" s="6" t="str" cm="1">
        <f t="array" ref="E697">_xlfn.IFS(D697&lt;=5,"Newcomer",AND(D697&gt;=6,D697&lt;=10),"Proficient",D697&gt;10,"Expert")</f>
        <v>Expert</v>
      </c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 t="str" cm="1">
        <f t="array" ref="M697">_xlfn.IFS(L697="Retirement","Voluntary",L697="Resignation","Voluntary",L697="Layoff","InVoluntary")</f>
        <v>InVoluntary</v>
      </c>
      <c r="N697" s="4" t="s">
        <v>26</v>
      </c>
      <c r="O697" s="41"/>
      <c r="P697">
        <v>1</v>
      </c>
      <c r="Q697" t="s">
        <v>174</v>
      </c>
    </row>
    <row r="698" spans="1:17" x14ac:dyDescent="0.35">
      <c r="A698" s="4">
        <v>4276</v>
      </c>
      <c r="B698" s="5">
        <v>38959</v>
      </c>
      <c r="C698" s="5">
        <v>44093</v>
      </c>
      <c r="D698" s="4">
        <v>14</v>
      </c>
      <c r="E698" s="6" t="str" cm="1">
        <f t="array" ref="E698">_xlfn.IFS(D698&lt;=5,"Newcomer",AND(D698&gt;=6,D698&lt;=10),"Proficient",D698&gt;10,"Expert")</f>
        <v>Expert</v>
      </c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 t="str" cm="1">
        <f t="array" ref="M698">_xlfn.IFS(L698="Retirement","Voluntary",L698="Resignation","Voluntary",L698="Layoff","InVoluntary")</f>
        <v>InVoluntary</v>
      </c>
      <c r="N698" s="4" t="s">
        <v>26</v>
      </c>
      <c r="O698" s="41"/>
      <c r="P698">
        <v>1</v>
      </c>
      <c r="Q698" t="s">
        <v>174</v>
      </c>
    </row>
    <row r="699" spans="1:17" x14ac:dyDescent="0.35">
      <c r="A699" s="4">
        <v>4277</v>
      </c>
      <c r="B699" s="5">
        <v>40667</v>
      </c>
      <c r="C699" s="5">
        <v>43995</v>
      </c>
      <c r="D699" s="4">
        <v>9</v>
      </c>
      <c r="E699" s="6" t="str" cm="1">
        <f t="array" ref="E699">_xlfn.IFS(D699&lt;=5,"Newcomer",AND(D699&gt;=6,D699&lt;=10),"Proficient",D699&gt;10,"Expert")</f>
        <v>Proficient</v>
      </c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 t="str" cm="1">
        <f t="array" ref="M699">_xlfn.IFS(L699="Retirement","Voluntary",L699="Resignation","Voluntary",L699="Layoff","InVoluntary")</f>
        <v>InVoluntary</v>
      </c>
      <c r="N699" s="4" t="s">
        <v>26</v>
      </c>
      <c r="O699" s="41"/>
      <c r="P699">
        <v>1</v>
      </c>
      <c r="Q699" t="s">
        <v>174</v>
      </c>
    </row>
    <row r="700" spans="1:17" x14ac:dyDescent="0.35">
      <c r="A700" s="4">
        <v>4278</v>
      </c>
      <c r="B700" s="5">
        <v>36862</v>
      </c>
      <c r="C700" s="5">
        <v>44178</v>
      </c>
      <c r="D700" s="4">
        <v>20</v>
      </c>
      <c r="E700" s="6" t="str" cm="1">
        <f t="array" ref="E700">_xlfn.IFS(D700&lt;=5,"Newcomer",AND(D700&gt;=6,D700&lt;=10),"Proficient",D700&gt;10,"Expert")</f>
        <v>Expert</v>
      </c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 t="str" cm="1">
        <f t="array" ref="M700">_xlfn.IFS(L700="Retirement","Voluntary",L700="Resignation","Voluntary",L700="Layoff","InVoluntary")</f>
        <v>InVoluntary</v>
      </c>
      <c r="N700" s="4" t="s">
        <v>26</v>
      </c>
      <c r="O700" s="41"/>
      <c r="P700">
        <v>1</v>
      </c>
      <c r="Q700" t="s">
        <v>174</v>
      </c>
    </row>
    <row r="701" spans="1:17" x14ac:dyDescent="0.35">
      <c r="A701" s="4">
        <v>4281</v>
      </c>
      <c r="B701" s="5">
        <v>35364</v>
      </c>
      <c r="C701" s="5">
        <v>43911</v>
      </c>
      <c r="D701" s="4">
        <v>24</v>
      </c>
      <c r="E701" s="6" t="str" cm="1">
        <f t="array" ref="E701">_xlfn.IFS(D701&lt;=5,"Newcomer",AND(D701&gt;=6,D701&lt;=10),"Proficient",D701&gt;10,"Expert")</f>
        <v>Expert</v>
      </c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 t="str" cm="1">
        <f t="array" ref="M701">_xlfn.IFS(L701="Retirement","Voluntary",L701="Resignation","Voluntary",L701="Layoff","InVoluntary")</f>
        <v>InVoluntary</v>
      </c>
      <c r="N701" s="4" t="s">
        <v>26</v>
      </c>
      <c r="O701" s="41"/>
      <c r="P701">
        <v>1</v>
      </c>
      <c r="Q701" t="s">
        <v>174</v>
      </c>
    </row>
    <row r="702" spans="1:17" x14ac:dyDescent="0.35">
      <c r="A702" s="4">
        <v>4284</v>
      </c>
      <c r="B702" s="5">
        <v>39042</v>
      </c>
      <c r="C702" s="5">
        <v>44179</v>
      </c>
      <c r="D702" s="4">
        <v>14</v>
      </c>
      <c r="E702" s="6" t="str" cm="1">
        <f t="array" ref="E702">_xlfn.IFS(D702&lt;=5,"Newcomer",AND(D702&gt;=6,D702&lt;=10),"Proficient",D702&gt;10,"Expert")</f>
        <v>Expert</v>
      </c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 t="str" cm="1">
        <f t="array" ref="M702">_xlfn.IFS(L702="Retirement","Voluntary",L702="Resignation","Voluntary",L702="Layoff","InVoluntary")</f>
        <v>Voluntary</v>
      </c>
      <c r="N702" s="4" t="s">
        <v>26</v>
      </c>
      <c r="O702" s="41"/>
      <c r="P702">
        <v>1</v>
      </c>
      <c r="Q702" t="s">
        <v>173</v>
      </c>
    </row>
    <row r="703" spans="1:17" x14ac:dyDescent="0.35">
      <c r="A703" s="4">
        <v>4290</v>
      </c>
      <c r="B703" s="5">
        <v>32932</v>
      </c>
      <c r="C703" s="5">
        <v>43900</v>
      </c>
      <c r="D703" s="4">
        <v>30</v>
      </c>
      <c r="E703" s="6" t="str" cm="1">
        <f t="array" ref="E703">_xlfn.IFS(D703&lt;=5,"Newcomer",AND(D703&gt;=6,D703&lt;=10),"Proficient",D703&gt;10,"Expert")</f>
        <v>Expert</v>
      </c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 t="str" cm="1">
        <f t="array" ref="M703">_xlfn.IFS(L703="Retirement","Voluntary",L703="Resignation","Voluntary",L703="Layoff","InVoluntary")</f>
        <v>InVoluntary</v>
      </c>
      <c r="N703" s="4" t="s">
        <v>26</v>
      </c>
      <c r="O703" s="41"/>
      <c r="P703">
        <v>1</v>
      </c>
      <c r="Q703" t="s">
        <v>174</v>
      </c>
    </row>
    <row r="704" spans="1:17" x14ac:dyDescent="0.35">
      <c r="A704" s="4">
        <v>4291</v>
      </c>
      <c r="B704" s="5">
        <v>37951</v>
      </c>
      <c r="C704" s="5">
        <v>44058</v>
      </c>
      <c r="D704" s="4">
        <v>17</v>
      </c>
      <c r="E704" s="6" t="str" cm="1">
        <f t="array" ref="E704">_xlfn.IFS(D704&lt;=5,"Newcomer",AND(D704&gt;=6,D704&lt;=10),"Proficient",D704&gt;10,"Expert")</f>
        <v>Expert</v>
      </c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 t="str" cm="1">
        <f t="array" ref="M704">_xlfn.IFS(L704="Retirement","Voluntary",L704="Resignation","Voluntary",L704="Layoff","InVoluntary")</f>
        <v>InVoluntary</v>
      </c>
      <c r="N704" s="4" t="s">
        <v>26</v>
      </c>
      <c r="O704" s="41"/>
      <c r="P704">
        <v>1</v>
      </c>
      <c r="Q704" t="s">
        <v>174</v>
      </c>
    </row>
    <row r="705" spans="1:17" x14ac:dyDescent="0.35">
      <c r="A705" s="4">
        <v>4293</v>
      </c>
      <c r="B705" s="5">
        <v>41634</v>
      </c>
      <c r="C705" s="5">
        <v>43978</v>
      </c>
      <c r="D705" s="4">
        <v>7</v>
      </c>
      <c r="E705" s="6" t="str" cm="1">
        <f t="array" ref="E705">_xlfn.IFS(D705&lt;=5,"Newcomer",AND(D705&gt;=6,D705&lt;=10),"Proficient",D705&gt;10,"Expert")</f>
        <v>Proficient</v>
      </c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 t="str" cm="1">
        <f t="array" ref="M705">_xlfn.IFS(L705="Retirement","Voluntary",L705="Resignation","Voluntary",L705="Layoff","InVoluntary")</f>
        <v>InVoluntary</v>
      </c>
      <c r="N705" s="4" t="s">
        <v>26</v>
      </c>
      <c r="O705" s="41"/>
      <c r="P705">
        <v>1</v>
      </c>
      <c r="Q705" t="s">
        <v>174</v>
      </c>
    </row>
    <row r="706" spans="1:17" x14ac:dyDescent="0.35">
      <c r="A706" s="4">
        <v>4294</v>
      </c>
      <c r="B706" s="5">
        <v>36359</v>
      </c>
      <c r="C706" s="5">
        <v>44042</v>
      </c>
      <c r="D706" s="4">
        <v>21</v>
      </c>
      <c r="E706" s="6" t="str" cm="1">
        <f t="array" ref="E706">_xlfn.IFS(D706&lt;=5,"Newcomer",AND(D706&gt;=6,D706&lt;=10),"Proficient",D706&gt;10,"Expert")</f>
        <v>Expert</v>
      </c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 t="str" cm="1">
        <f t="array" ref="M706">_xlfn.IFS(L706="Retirement","Voluntary",L706="Resignation","Voluntary",L706="Layoff","InVoluntary")</f>
        <v>InVoluntary</v>
      </c>
      <c r="N706" s="4" t="s">
        <v>26</v>
      </c>
      <c r="O706" s="41"/>
      <c r="P706">
        <v>1</v>
      </c>
      <c r="Q706" t="s">
        <v>174</v>
      </c>
    </row>
    <row r="707" spans="1:17" x14ac:dyDescent="0.35">
      <c r="A707" s="4">
        <v>4296</v>
      </c>
      <c r="B707" s="5">
        <v>35778</v>
      </c>
      <c r="C707" s="5">
        <v>44153</v>
      </c>
      <c r="D707" s="4">
        <v>23</v>
      </c>
      <c r="E707" s="6" t="str" cm="1">
        <f t="array" ref="E707">_xlfn.IFS(D707&lt;=5,"Newcomer",AND(D707&gt;=6,D707&lt;=10),"Proficient",D707&gt;10,"Expert")</f>
        <v>Expert</v>
      </c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 t="str" cm="1">
        <f t="array" ref="M707">_xlfn.IFS(L707="Retirement","Voluntary",L707="Resignation","Voluntary",L707="Layoff","InVoluntary")</f>
        <v>InVoluntary</v>
      </c>
      <c r="N707" s="4" t="s">
        <v>26</v>
      </c>
      <c r="O707" s="41"/>
      <c r="P707">
        <v>1</v>
      </c>
      <c r="Q707" t="s">
        <v>174</v>
      </c>
    </row>
    <row r="708" spans="1:17" x14ac:dyDescent="0.35">
      <c r="A708" s="4">
        <v>4298</v>
      </c>
      <c r="B708" s="5">
        <v>41737</v>
      </c>
      <c r="C708" s="5">
        <v>44127</v>
      </c>
      <c r="D708" s="4">
        <v>6</v>
      </c>
      <c r="E708" s="6" t="str" cm="1">
        <f t="array" ref="E708">_xlfn.IFS(D708&lt;=5,"Newcomer",AND(D708&gt;=6,D708&lt;=10),"Proficient",D708&gt;10,"Expert")</f>
        <v>Proficient</v>
      </c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 t="str" cm="1">
        <f t="array" ref="M708">_xlfn.IFS(L708="Retirement","Voluntary",L708="Resignation","Voluntary",L708="Layoff","InVoluntary")</f>
        <v>InVoluntary</v>
      </c>
      <c r="N708" s="4" t="s">
        <v>26</v>
      </c>
      <c r="O708" s="41"/>
      <c r="P708">
        <v>1</v>
      </c>
      <c r="Q708" t="s">
        <v>174</v>
      </c>
    </row>
    <row r="709" spans="1:17" x14ac:dyDescent="0.35">
      <c r="A709" s="4">
        <v>4303</v>
      </c>
      <c r="B709" s="5">
        <v>41061</v>
      </c>
      <c r="C709" s="5">
        <v>43934</v>
      </c>
      <c r="D709" s="4">
        <v>8</v>
      </c>
      <c r="E709" s="6" t="str" cm="1">
        <f t="array" ref="E709">_xlfn.IFS(D709&lt;=5,"Newcomer",AND(D709&gt;=6,D709&lt;=10),"Proficient",D709&gt;10,"Expert")</f>
        <v>Proficient</v>
      </c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 t="str" cm="1">
        <f t="array" ref="M709">_xlfn.IFS(L709="Retirement","Voluntary",L709="Resignation","Voluntary",L709="Layoff","InVoluntary")</f>
        <v>InVoluntary</v>
      </c>
      <c r="N709" s="4" t="s">
        <v>26</v>
      </c>
      <c r="O709" s="41"/>
      <c r="P709">
        <v>1</v>
      </c>
      <c r="Q709" t="s">
        <v>174</v>
      </c>
    </row>
    <row r="710" spans="1:17" x14ac:dyDescent="0.35">
      <c r="A710" s="4">
        <v>4304</v>
      </c>
      <c r="B710" s="5">
        <v>35321</v>
      </c>
      <c r="C710" s="5">
        <v>44172</v>
      </c>
      <c r="D710" s="4">
        <v>24</v>
      </c>
      <c r="E710" s="6" t="str" cm="1">
        <f t="array" ref="E710">_xlfn.IFS(D710&lt;=5,"Newcomer",AND(D710&gt;=6,D710&lt;=10),"Proficient",D710&gt;10,"Expert")</f>
        <v>Expert</v>
      </c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 t="str" cm="1">
        <f t="array" ref="M710">_xlfn.IFS(L710="Retirement","Voluntary",L710="Resignation","Voluntary",L710="Layoff","InVoluntary")</f>
        <v>Voluntary</v>
      </c>
      <c r="N710" s="4" t="s">
        <v>26</v>
      </c>
      <c r="O710" s="41"/>
      <c r="P710">
        <v>1</v>
      </c>
      <c r="Q710" t="s">
        <v>173</v>
      </c>
    </row>
    <row r="711" spans="1:17" x14ac:dyDescent="0.35">
      <c r="A711" s="4">
        <v>4310</v>
      </c>
      <c r="B711" s="5">
        <v>39965</v>
      </c>
      <c r="C711" s="5">
        <v>43868</v>
      </c>
      <c r="D711" s="4">
        <v>11</v>
      </c>
      <c r="E711" s="6" t="str" cm="1">
        <f t="array" ref="E711">_xlfn.IFS(D711&lt;=5,"Newcomer",AND(D711&gt;=6,D711&lt;=10),"Proficient",D711&gt;10,"Expert")</f>
        <v>Expert</v>
      </c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 t="str" cm="1">
        <f t="array" ref="M711">_xlfn.IFS(L711="Retirement","Voluntary",L711="Resignation","Voluntary",L711="Layoff","InVoluntary")</f>
        <v>InVoluntary</v>
      </c>
      <c r="N711" s="4" t="s">
        <v>26</v>
      </c>
      <c r="O711" s="41"/>
      <c r="P711">
        <v>1</v>
      </c>
      <c r="Q711" t="s">
        <v>174</v>
      </c>
    </row>
    <row r="712" spans="1:17" x14ac:dyDescent="0.35">
      <c r="A712" s="4">
        <v>4315</v>
      </c>
      <c r="B712" s="5">
        <v>41599</v>
      </c>
      <c r="C712" s="5">
        <v>44002</v>
      </c>
      <c r="D712" s="4">
        <v>7</v>
      </c>
      <c r="E712" s="6" t="str" cm="1">
        <f t="array" ref="E712">_xlfn.IFS(D712&lt;=5,"Newcomer",AND(D712&gt;=6,D712&lt;=10),"Proficient",D712&gt;10,"Expert")</f>
        <v>Proficient</v>
      </c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 t="str" cm="1">
        <f t="array" ref="M712">_xlfn.IFS(L712="Retirement","Voluntary",L712="Resignation","Voluntary",L712="Layoff","InVoluntary")</f>
        <v>InVoluntary</v>
      </c>
      <c r="N712" s="4" t="s">
        <v>26</v>
      </c>
      <c r="O712" s="41"/>
      <c r="P712">
        <v>1</v>
      </c>
      <c r="Q712" t="s">
        <v>174</v>
      </c>
    </row>
    <row r="713" spans="1:17" x14ac:dyDescent="0.35">
      <c r="A713" s="4">
        <v>4316</v>
      </c>
      <c r="B713" s="5">
        <v>39713</v>
      </c>
      <c r="C713" s="5">
        <v>44192</v>
      </c>
      <c r="D713" s="4">
        <v>12</v>
      </c>
      <c r="E713" s="6" t="str" cm="1">
        <f t="array" ref="E713">_xlfn.IFS(D713&lt;=5,"Newcomer",AND(D713&gt;=6,D713&lt;=10),"Proficient",D713&gt;10,"Expert")</f>
        <v>Expert</v>
      </c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 t="str" cm="1">
        <f t="array" ref="M713">_xlfn.IFS(L713="Retirement","Voluntary",L713="Resignation","Voluntary",L713="Layoff","InVoluntary")</f>
        <v>Voluntary</v>
      </c>
      <c r="N713" s="4" t="s">
        <v>26</v>
      </c>
      <c r="O713" s="41"/>
      <c r="P713">
        <v>1</v>
      </c>
      <c r="Q713" t="s">
        <v>173</v>
      </c>
    </row>
    <row r="714" spans="1:17" x14ac:dyDescent="0.35">
      <c r="A714" s="4">
        <v>4317</v>
      </c>
      <c r="B714" s="5">
        <v>41523</v>
      </c>
      <c r="C714" s="5">
        <v>44032</v>
      </c>
      <c r="D714" s="4">
        <v>7</v>
      </c>
      <c r="E714" s="6" t="str" cm="1">
        <f t="array" ref="E714">_xlfn.IFS(D714&lt;=5,"Newcomer",AND(D714&gt;=6,D714&lt;=10),"Proficient",D714&gt;10,"Expert")</f>
        <v>Proficient</v>
      </c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 t="str" cm="1">
        <f t="array" ref="M714">_xlfn.IFS(L714="Retirement","Voluntary",L714="Resignation","Voluntary",L714="Layoff","InVoluntary")</f>
        <v>InVoluntary</v>
      </c>
      <c r="N714" s="4" t="s">
        <v>26</v>
      </c>
      <c r="O714" s="41"/>
      <c r="P714">
        <v>1</v>
      </c>
      <c r="Q714" t="s">
        <v>174</v>
      </c>
    </row>
    <row r="715" spans="1:17" x14ac:dyDescent="0.35">
      <c r="A715" s="4">
        <v>4318</v>
      </c>
      <c r="B715" s="5">
        <v>35598</v>
      </c>
      <c r="C715" s="5">
        <v>43920</v>
      </c>
      <c r="D715" s="4">
        <v>23</v>
      </c>
      <c r="E715" s="6" t="str" cm="1">
        <f t="array" ref="E715">_xlfn.IFS(D715&lt;=5,"Newcomer",AND(D715&gt;=6,D715&lt;=10),"Proficient",D715&gt;10,"Expert")</f>
        <v>Expert</v>
      </c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 t="str" cm="1">
        <f t="array" ref="M715">_xlfn.IFS(L715="Retirement","Voluntary",L715="Resignation","Voluntary",L715="Layoff","InVoluntary")</f>
        <v>InVoluntary</v>
      </c>
      <c r="N715" s="4" t="s">
        <v>26</v>
      </c>
      <c r="O715" s="41"/>
      <c r="P715">
        <v>1</v>
      </c>
      <c r="Q715" t="s">
        <v>174</v>
      </c>
    </row>
    <row r="716" spans="1:17" x14ac:dyDescent="0.35">
      <c r="A716" s="4">
        <v>4319</v>
      </c>
      <c r="B716" s="5">
        <v>37783</v>
      </c>
      <c r="C716" s="5">
        <v>43981</v>
      </c>
      <c r="D716" s="4">
        <v>17</v>
      </c>
      <c r="E716" s="6" t="str" cm="1">
        <f t="array" ref="E716">_xlfn.IFS(D716&lt;=5,"Newcomer",AND(D716&gt;=6,D716&lt;=10),"Proficient",D716&gt;10,"Expert")</f>
        <v>Expert</v>
      </c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 t="str" cm="1">
        <f t="array" ref="M716">_xlfn.IFS(L716="Retirement","Voluntary",L716="Resignation","Voluntary",L716="Layoff","InVoluntary")</f>
        <v>InVoluntary</v>
      </c>
      <c r="N716" s="4" t="s">
        <v>26</v>
      </c>
      <c r="O716" s="41"/>
      <c r="P716">
        <v>1</v>
      </c>
      <c r="Q716" t="s">
        <v>174</v>
      </c>
    </row>
    <row r="717" spans="1:17" x14ac:dyDescent="0.35">
      <c r="A717" s="4">
        <v>4320</v>
      </c>
      <c r="B717" s="5">
        <v>38376</v>
      </c>
      <c r="C717" s="5">
        <v>43943</v>
      </c>
      <c r="D717" s="4">
        <v>15</v>
      </c>
      <c r="E717" s="6" t="str" cm="1">
        <f t="array" ref="E717">_xlfn.IFS(D717&lt;=5,"Newcomer",AND(D717&gt;=6,D717&lt;=10),"Proficient",D717&gt;10,"Expert")</f>
        <v>Expert</v>
      </c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 t="str" cm="1">
        <f t="array" ref="M717">_xlfn.IFS(L717="Retirement","Voluntary",L717="Resignation","Voluntary",L717="Layoff","InVoluntary")</f>
        <v>InVoluntary</v>
      </c>
      <c r="N717" s="4" t="s">
        <v>26</v>
      </c>
      <c r="O717" s="41"/>
      <c r="P717">
        <v>1</v>
      </c>
      <c r="Q717" t="s">
        <v>174</v>
      </c>
    </row>
    <row r="718" spans="1:17" x14ac:dyDescent="0.35">
      <c r="A718" s="4">
        <v>4323</v>
      </c>
      <c r="B718" s="5">
        <v>40558</v>
      </c>
      <c r="C718" s="5">
        <v>43873</v>
      </c>
      <c r="D718" s="4">
        <v>9</v>
      </c>
      <c r="E718" s="6" t="str" cm="1">
        <f t="array" ref="E718">_xlfn.IFS(D718&lt;=5,"Newcomer",AND(D718&gt;=6,D718&lt;=10),"Proficient",D718&gt;10,"Expert")</f>
        <v>Proficient</v>
      </c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 t="str" cm="1">
        <f t="array" ref="M718">_xlfn.IFS(L718="Retirement","Voluntary",L718="Resignation","Voluntary",L718="Layoff","InVoluntary")</f>
        <v>InVoluntary</v>
      </c>
      <c r="N718" s="4" t="s">
        <v>26</v>
      </c>
      <c r="O718" s="41"/>
      <c r="P718">
        <v>1</v>
      </c>
      <c r="Q718" t="s">
        <v>174</v>
      </c>
    </row>
    <row r="719" spans="1:17" x14ac:dyDescent="0.35">
      <c r="A719" s="4">
        <v>4336</v>
      </c>
      <c r="B719" s="5">
        <v>35387</v>
      </c>
      <c r="C719" s="5">
        <v>44102</v>
      </c>
      <c r="D719" s="4">
        <v>24</v>
      </c>
      <c r="E719" s="6" t="str" cm="1">
        <f t="array" ref="E719">_xlfn.IFS(D719&lt;=5,"Newcomer",AND(D719&gt;=6,D719&lt;=10),"Proficient",D719&gt;10,"Expert")</f>
        <v>Expert</v>
      </c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 t="str" cm="1">
        <f t="array" ref="M719">_xlfn.IFS(L719="Retirement","Voluntary",L719="Resignation","Voluntary",L719="Layoff","InVoluntary")</f>
        <v>InVoluntary</v>
      </c>
      <c r="N719" s="4" t="s">
        <v>26</v>
      </c>
      <c r="O719" s="41"/>
      <c r="P719">
        <v>1</v>
      </c>
      <c r="Q719" t="s">
        <v>174</v>
      </c>
    </row>
    <row r="720" spans="1:17" x14ac:dyDescent="0.35">
      <c r="A720" s="4">
        <v>4337</v>
      </c>
      <c r="B720" s="5">
        <v>37225</v>
      </c>
      <c r="C720" s="5">
        <v>43910</v>
      </c>
      <c r="D720" s="4">
        <v>19</v>
      </c>
      <c r="E720" s="6" t="str" cm="1">
        <f t="array" ref="E720">_xlfn.IFS(D720&lt;=5,"Newcomer",AND(D720&gt;=6,D720&lt;=10),"Proficient",D720&gt;10,"Expert")</f>
        <v>Expert</v>
      </c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 t="str" cm="1">
        <f t="array" ref="M720">_xlfn.IFS(L720="Retirement","Voluntary",L720="Resignation","Voluntary",L720="Layoff","InVoluntary")</f>
        <v>InVoluntary</v>
      </c>
      <c r="N720" s="4" t="s">
        <v>26</v>
      </c>
      <c r="O720" s="41"/>
      <c r="P720">
        <v>1</v>
      </c>
      <c r="Q720" t="s">
        <v>174</v>
      </c>
    </row>
    <row r="721" spans="1:17" x14ac:dyDescent="0.35">
      <c r="A721" s="4">
        <v>4339</v>
      </c>
      <c r="B721" s="5">
        <v>38512</v>
      </c>
      <c r="C721" s="5">
        <v>43920</v>
      </c>
      <c r="D721" s="4">
        <v>15</v>
      </c>
      <c r="E721" s="6" t="str" cm="1">
        <f t="array" ref="E721">_xlfn.IFS(D721&lt;=5,"Newcomer",AND(D721&gt;=6,D721&lt;=10),"Proficient",D721&gt;10,"Expert")</f>
        <v>Expert</v>
      </c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 t="str" cm="1">
        <f t="array" ref="M721">_xlfn.IFS(L721="Retirement","Voluntary",L721="Resignation","Voluntary",L721="Layoff","InVoluntary")</f>
        <v>InVoluntary</v>
      </c>
      <c r="N721" s="4" t="s">
        <v>26</v>
      </c>
      <c r="O721" s="41"/>
      <c r="P721">
        <v>1</v>
      </c>
      <c r="Q721" t="s">
        <v>174</v>
      </c>
    </row>
    <row r="722" spans="1:17" x14ac:dyDescent="0.35">
      <c r="A722" s="4">
        <v>4340</v>
      </c>
      <c r="B722" s="5">
        <v>38261</v>
      </c>
      <c r="C722" s="5">
        <v>43833</v>
      </c>
      <c r="D722" s="4">
        <v>16</v>
      </c>
      <c r="E722" s="6" t="str" cm="1">
        <f t="array" ref="E722">_xlfn.IFS(D722&lt;=5,"Newcomer",AND(D722&gt;=6,D722&lt;=10),"Proficient",D722&gt;10,"Expert")</f>
        <v>Expert</v>
      </c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 t="str" cm="1">
        <f t="array" ref="M722">_xlfn.IFS(L722="Retirement","Voluntary",L722="Resignation","Voluntary",L722="Layoff","InVoluntary")</f>
        <v>InVoluntary</v>
      </c>
      <c r="N722" s="4" t="s">
        <v>26</v>
      </c>
      <c r="O722" s="41"/>
      <c r="P722">
        <v>1</v>
      </c>
      <c r="Q722" t="s">
        <v>174</v>
      </c>
    </row>
    <row r="723" spans="1:17" x14ac:dyDescent="0.35">
      <c r="A723" s="4">
        <v>4344</v>
      </c>
      <c r="B723" s="5">
        <v>34235</v>
      </c>
      <c r="C723" s="5">
        <v>44071</v>
      </c>
      <c r="D723" s="4">
        <v>27</v>
      </c>
      <c r="E723" s="6" t="str" cm="1">
        <f t="array" ref="E723">_xlfn.IFS(D723&lt;=5,"Newcomer",AND(D723&gt;=6,D723&lt;=10),"Proficient",D723&gt;10,"Expert")</f>
        <v>Expert</v>
      </c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 t="str" cm="1">
        <f t="array" ref="M723">_xlfn.IFS(L723="Retirement","Voluntary",L723="Resignation","Voluntary",L723="Layoff","InVoluntary")</f>
        <v>InVoluntary</v>
      </c>
      <c r="N723" s="4" t="s">
        <v>26</v>
      </c>
      <c r="O723" s="41"/>
      <c r="P723">
        <v>1</v>
      </c>
      <c r="Q723" t="s">
        <v>174</v>
      </c>
    </row>
    <row r="724" spans="1:17" x14ac:dyDescent="0.35">
      <c r="A724" s="4">
        <v>4345</v>
      </c>
      <c r="B724" s="5">
        <v>42023</v>
      </c>
      <c r="C724" s="5">
        <v>44065</v>
      </c>
      <c r="D724" s="4">
        <v>5</v>
      </c>
      <c r="E724" s="6" t="str" cm="1">
        <f t="array" ref="E724">_xlfn.IFS(D724&lt;=5,"Newcomer",AND(D724&gt;=6,D724&lt;=10),"Proficient",D724&gt;10,"Expert")</f>
        <v>Newcomer</v>
      </c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 t="str" cm="1">
        <f t="array" ref="M724">_xlfn.IFS(L724="Retirement","Voluntary",L724="Resignation","Voluntary",L724="Layoff","InVoluntary")</f>
        <v>InVoluntary</v>
      </c>
      <c r="N724" s="4" t="s">
        <v>26</v>
      </c>
      <c r="O724" s="41"/>
      <c r="P724">
        <v>1</v>
      </c>
      <c r="Q724" t="s">
        <v>174</v>
      </c>
    </row>
    <row r="725" spans="1:17" x14ac:dyDescent="0.35">
      <c r="A725" s="4">
        <v>4346</v>
      </c>
      <c r="B725" s="5">
        <v>34946</v>
      </c>
      <c r="C725" s="5">
        <v>44125</v>
      </c>
      <c r="D725" s="4">
        <v>25</v>
      </c>
      <c r="E725" s="6" t="str" cm="1">
        <f t="array" ref="E725">_xlfn.IFS(D725&lt;=5,"Newcomer",AND(D725&gt;=6,D725&lt;=10),"Proficient",D725&gt;10,"Expert")</f>
        <v>Expert</v>
      </c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 t="str" cm="1">
        <f t="array" ref="M725">_xlfn.IFS(L725="Retirement","Voluntary",L725="Resignation","Voluntary",L725="Layoff","InVoluntary")</f>
        <v>InVoluntary</v>
      </c>
      <c r="N725" s="4" t="s">
        <v>26</v>
      </c>
      <c r="O725" s="41"/>
      <c r="P725">
        <v>1</v>
      </c>
      <c r="Q725" t="s">
        <v>174</v>
      </c>
    </row>
    <row r="726" spans="1:17" x14ac:dyDescent="0.35">
      <c r="A726" s="4">
        <v>4347</v>
      </c>
      <c r="B726" s="5">
        <v>39392</v>
      </c>
      <c r="C726" s="5">
        <v>43877</v>
      </c>
      <c r="D726" s="4">
        <v>13</v>
      </c>
      <c r="E726" s="6" t="str" cm="1">
        <f t="array" ref="E726">_xlfn.IFS(D726&lt;=5,"Newcomer",AND(D726&gt;=6,D726&lt;=10),"Proficient",D726&gt;10,"Expert")</f>
        <v>Expert</v>
      </c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 t="str" cm="1">
        <f t="array" ref="M726">_xlfn.IFS(L726="Retirement","Voluntary",L726="Resignation","Voluntary",L726="Layoff","InVoluntary")</f>
        <v>InVoluntary</v>
      </c>
      <c r="N726" s="4" t="s">
        <v>26</v>
      </c>
      <c r="O726" s="41"/>
      <c r="P726">
        <v>1</v>
      </c>
      <c r="Q726" t="s">
        <v>174</v>
      </c>
    </row>
    <row r="727" spans="1:17" x14ac:dyDescent="0.35">
      <c r="A727" s="4">
        <v>4353</v>
      </c>
      <c r="B727" s="5">
        <v>37963</v>
      </c>
      <c r="C727" s="5">
        <v>44099</v>
      </c>
      <c r="D727" s="4">
        <v>17</v>
      </c>
      <c r="E727" s="6" t="str" cm="1">
        <f t="array" ref="E727">_xlfn.IFS(D727&lt;=5,"Newcomer",AND(D727&gt;=6,D727&lt;=10),"Proficient",D727&gt;10,"Expert")</f>
        <v>Expert</v>
      </c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 t="str" cm="1">
        <f t="array" ref="M727">_xlfn.IFS(L727="Retirement","Voluntary",L727="Resignation","Voluntary",L727="Layoff","InVoluntary")</f>
        <v>InVoluntary</v>
      </c>
      <c r="N727" s="4" t="s">
        <v>26</v>
      </c>
      <c r="O727" s="41"/>
      <c r="P727">
        <v>1</v>
      </c>
      <c r="Q727" t="s">
        <v>174</v>
      </c>
    </row>
    <row r="728" spans="1:17" x14ac:dyDescent="0.35">
      <c r="A728" s="4">
        <v>4354</v>
      </c>
      <c r="B728" s="5">
        <v>35221</v>
      </c>
      <c r="C728" s="5">
        <v>44007</v>
      </c>
      <c r="D728" s="4">
        <v>24</v>
      </c>
      <c r="E728" s="6" t="str" cm="1">
        <f t="array" ref="E728">_xlfn.IFS(D728&lt;=5,"Newcomer",AND(D728&gt;=6,D728&lt;=10),"Proficient",D728&gt;10,"Expert")</f>
        <v>Expert</v>
      </c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 t="str" cm="1">
        <f t="array" ref="M728">_xlfn.IFS(L728="Retirement","Voluntary",L728="Resignation","Voluntary",L728="Layoff","InVoluntary")</f>
        <v>InVoluntary</v>
      </c>
      <c r="N728" s="4" t="s">
        <v>26</v>
      </c>
      <c r="O728" s="41"/>
      <c r="P728">
        <v>1</v>
      </c>
      <c r="Q728" t="s">
        <v>174</v>
      </c>
    </row>
    <row r="729" spans="1:17" x14ac:dyDescent="0.35">
      <c r="A729" s="4">
        <v>4356</v>
      </c>
      <c r="B729" s="5">
        <v>36290</v>
      </c>
      <c r="C729" s="5">
        <v>44110</v>
      </c>
      <c r="D729" s="4">
        <v>21</v>
      </c>
      <c r="E729" s="6" t="str" cm="1">
        <f t="array" ref="E729">_xlfn.IFS(D729&lt;=5,"Newcomer",AND(D729&gt;=6,D729&lt;=10),"Proficient",D729&gt;10,"Expert")</f>
        <v>Expert</v>
      </c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 t="str" cm="1">
        <f t="array" ref="M729">_xlfn.IFS(L729="Retirement","Voluntary",L729="Resignation","Voluntary",L729="Layoff","InVoluntary")</f>
        <v>InVoluntary</v>
      </c>
      <c r="N729" s="4" t="s">
        <v>26</v>
      </c>
      <c r="O729" s="41"/>
      <c r="P729">
        <v>1</v>
      </c>
      <c r="Q729" t="s">
        <v>174</v>
      </c>
    </row>
    <row r="730" spans="1:17" x14ac:dyDescent="0.35">
      <c r="A730" s="4">
        <v>4357</v>
      </c>
      <c r="B730" s="5">
        <v>38382</v>
      </c>
      <c r="C730" s="5">
        <v>44177</v>
      </c>
      <c r="D730" s="4">
        <v>15</v>
      </c>
      <c r="E730" s="6" t="str" cm="1">
        <f t="array" ref="E730">_xlfn.IFS(D730&lt;=5,"Newcomer",AND(D730&gt;=6,D730&lt;=10),"Proficient",D730&gt;10,"Expert")</f>
        <v>Expert</v>
      </c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 t="str" cm="1">
        <f t="array" ref="M730">_xlfn.IFS(L730="Retirement","Voluntary",L730="Resignation","Voluntary",L730="Layoff","InVoluntary")</f>
        <v>InVoluntary</v>
      </c>
      <c r="N730" s="4" t="s">
        <v>26</v>
      </c>
      <c r="O730" s="41"/>
      <c r="P730">
        <v>1</v>
      </c>
      <c r="Q730" t="s">
        <v>174</v>
      </c>
    </row>
    <row r="731" spans="1:17" x14ac:dyDescent="0.35">
      <c r="A731" s="4">
        <v>4359</v>
      </c>
      <c r="B731" s="5">
        <v>36179</v>
      </c>
      <c r="C731" s="5">
        <v>43923</v>
      </c>
      <c r="D731" s="4">
        <v>21</v>
      </c>
      <c r="E731" s="6" t="str" cm="1">
        <f t="array" ref="E731">_xlfn.IFS(D731&lt;=5,"Newcomer",AND(D731&gt;=6,D731&lt;=10),"Proficient",D731&gt;10,"Expert")</f>
        <v>Expert</v>
      </c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 t="str" cm="1">
        <f t="array" ref="M731">_xlfn.IFS(L731="Retirement","Voluntary",L731="Resignation","Voluntary",L731="Layoff","InVoluntary")</f>
        <v>InVoluntary</v>
      </c>
      <c r="N731" s="4" t="s">
        <v>26</v>
      </c>
      <c r="O731" s="41"/>
      <c r="P731">
        <v>1</v>
      </c>
      <c r="Q731" t="s">
        <v>174</v>
      </c>
    </row>
    <row r="732" spans="1:17" x14ac:dyDescent="0.35">
      <c r="A732" s="4">
        <v>4366</v>
      </c>
      <c r="B732" s="5">
        <v>33647</v>
      </c>
      <c r="C732" s="5">
        <v>44164</v>
      </c>
      <c r="D732" s="4">
        <v>28</v>
      </c>
      <c r="E732" s="6" t="str" cm="1">
        <f t="array" ref="E732">_xlfn.IFS(D732&lt;=5,"Newcomer",AND(D732&gt;=6,D732&lt;=10),"Proficient",D732&gt;10,"Expert")</f>
        <v>Expert</v>
      </c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 t="str" cm="1">
        <f t="array" ref="M732">_xlfn.IFS(L732="Retirement","Voluntary",L732="Resignation","Voluntary",L732="Layoff","InVoluntary")</f>
        <v>InVoluntary</v>
      </c>
      <c r="N732" s="4" t="s">
        <v>26</v>
      </c>
      <c r="O732" s="41"/>
      <c r="P732">
        <v>1</v>
      </c>
      <c r="Q732" t="s">
        <v>174</v>
      </c>
    </row>
    <row r="733" spans="1:17" x14ac:dyDescent="0.35">
      <c r="A733" s="4">
        <v>4371</v>
      </c>
      <c r="B733" s="5">
        <v>40948</v>
      </c>
      <c r="C733" s="5">
        <v>44056</v>
      </c>
      <c r="D733" s="4">
        <v>8</v>
      </c>
      <c r="E733" s="6" t="str" cm="1">
        <f t="array" ref="E733">_xlfn.IFS(D733&lt;=5,"Newcomer",AND(D733&gt;=6,D733&lt;=10),"Proficient",D733&gt;10,"Expert")</f>
        <v>Proficient</v>
      </c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 t="str" cm="1">
        <f t="array" ref="M733">_xlfn.IFS(L733="Retirement","Voluntary",L733="Resignation","Voluntary",L733="Layoff","InVoluntary")</f>
        <v>InVoluntary</v>
      </c>
      <c r="N733" s="4" t="s">
        <v>26</v>
      </c>
      <c r="O733" s="41"/>
      <c r="P733">
        <v>1</v>
      </c>
      <c r="Q733" t="s">
        <v>174</v>
      </c>
    </row>
    <row r="734" spans="1:17" x14ac:dyDescent="0.35">
      <c r="A734" s="4">
        <v>4373</v>
      </c>
      <c r="B734" s="5">
        <v>37391</v>
      </c>
      <c r="C734" s="5">
        <v>43966</v>
      </c>
      <c r="D734" s="4">
        <v>18</v>
      </c>
      <c r="E734" s="6" t="str" cm="1">
        <f t="array" ref="E734">_xlfn.IFS(D734&lt;=5,"Newcomer",AND(D734&gt;=6,D734&lt;=10),"Proficient",D734&gt;10,"Expert")</f>
        <v>Expert</v>
      </c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 t="str" cm="1">
        <f t="array" ref="M734">_xlfn.IFS(L734="Retirement","Voluntary",L734="Resignation","Voluntary",L734="Layoff","InVoluntary")</f>
        <v>InVoluntary</v>
      </c>
      <c r="N734" s="4" t="s">
        <v>26</v>
      </c>
      <c r="O734" s="41"/>
      <c r="P734">
        <v>1</v>
      </c>
      <c r="Q734" t="s">
        <v>174</v>
      </c>
    </row>
    <row r="735" spans="1:17" x14ac:dyDescent="0.35">
      <c r="A735" s="4">
        <v>4374</v>
      </c>
      <c r="B735" s="5">
        <v>36817</v>
      </c>
      <c r="C735" s="5">
        <v>43910</v>
      </c>
      <c r="D735" s="4">
        <v>20</v>
      </c>
      <c r="E735" s="6" t="str" cm="1">
        <f t="array" ref="E735">_xlfn.IFS(D735&lt;=5,"Newcomer",AND(D735&gt;=6,D735&lt;=10),"Proficient",D735&gt;10,"Expert")</f>
        <v>Expert</v>
      </c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 t="str" cm="1">
        <f t="array" ref="M735">_xlfn.IFS(L735="Retirement","Voluntary",L735="Resignation","Voluntary",L735="Layoff","InVoluntary")</f>
        <v>InVoluntary</v>
      </c>
      <c r="N735" s="4" t="s">
        <v>26</v>
      </c>
      <c r="O735" s="41"/>
      <c r="P735">
        <v>1</v>
      </c>
      <c r="Q735" t="s">
        <v>174</v>
      </c>
    </row>
    <row r="736" spans="1:17" x14ac:dyDescent="0.35">
      <c r="A736" s="4">
        <v>4377</v>
      </c>
      <c r="B736" s="5">
        <v>39842</v>
      </c>
      <c r="C736" s="5">
        <v>44132</v>
      </c>
      <c r="D736" s="4">
        <v>11</v>
      </c>
      <c r="E736" s="6" t="str" cm="1">
        <f t="array" ref="E736">_xlfn.IFS(D736&lt;=5,"Newcomer",AND(D736&gt;=6,D736&lt;=10),"Proficient",D736&gt;10,"Expert")</f>
        <v>Expert</v>
      </c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 t="str" cm="1">
        <f t="array" ref="M736">_xlfn.IFS(L736="Retirement","Voluntary",L736="Resignation","Voluntary",L736="Layoff","InVoluntary")</f>
        <v>InVoluntary</v>
      </c>
      <c r="N736" s="4" t="s">
        <v>26</v>
      </c>
      <c r="O736" s="41"/>
      <c r="P736">
        <v>1</v>
      </c>
      <c r="Q736" t="s">
        <v>174</v>
      </c>
    </row>
    <row r="737" spans="1:17" x14ac:dyDescent="0.35">
      <c r="A737" s="4">
        <v>4381</v>
      </c>
      <c r="B737" s="5">
        <v>38429</v>
      </c>
      <c r="C737" s="5">
        <v>43883</v>
      </c>
      <c r="D737" s="4">
        <v>15</v>
      </c>
      <c r="E737" s="6" t="str" cm="1">
        <f t="array" ref="E737">_xlfn.IFS(D737&lt;=5,"Newcomer",AND(D737&gt;=6,D737&lt;=10),"Proficient",D737&gt;10,"Expert")</f>
        <v>Expert</v>
      </c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 t="str" cm="1">
        <f t="array" ref="M737">_xlfn.IFS(L737="Retirement","Voluntary",L737="Resignation","Voluntary",L737="Layoff","InVoluntary")</f>
        <v>InVoluntary</v>
      </c>
      <c r="N737" s="4" t="s">
        <v>26</v>
      </c>
      <c r="O737" s="41"/>
      <c r="P737">
        <v>1</v>
      </c>
      <c r="Q737" t="s">
        <v>174</v>
      </c>
    </row>
    <row r="738" spans="1:17" x14ac:dyDescent="0.35">
      <c r="A738" s="4">
        <v>4382</v>
      </c>
      <c r="B738" s="5">
        <v>37708</v>
      </c>
      <c r="C738" s="5">
        <v>44133</v>
      </c>
      <c r="D738" s="4">
        <v>17</v>
      </c>
      <c r="E738" s="6" t="str" cm="1">
        <f t="array" ref="E738">_xlfn.IFS(D738&lt;=5,"Newcomer",AND(D738&gt;=6,D738&lt;=10),"Proficient",D738&gt;10,"Expert")</f>
        <v>Expert</v>
      </c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 t="str" cm="1">
        <f t="array" ref="M738">_xlfn.IFS(L738="Retirement","Voluntary",L738="Resignation","Voluntary",L738="Layoff","InVoluntary")</f>
        <v>Voluntary</v>
      </c>
      <c r="N738" s="4" t="s">
        <v>26</v>
      </c>
      <c r="O738" s="41"/>
      <c r="P738">
        <v>1</v>
      </c>
      <c r="Q738" t="s">
        <v>173</v>
      </c>
    </row>
    <row r="739" spans="1:17" x14ac:dyDescent="0.35">
      <c r="A739" s="4">
        <v>4388</v>
      </c>
      <c r="B739" s="5">
        <v>35501</v>
      </c>
      <c r="C739" s="5">
        <v>44021</v>
      </c>
      <c r="D739" s="4">
        <v>23</v>
      </c>
      <c r="E739" s="6" t="str" cm="1">
        <f t="array" ref="E739">_xlfn.IFS(D739&lt;=5,"Newcomer",AND(D739&gt;=6,D739&lt;=10),"Proficient",D739&gt;10,"Expert")</f>
        <v>Expert</v>
      </c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 t="str" cm="1">
        <f t="array" ref="M739">_xlfn.IFS(L739="Retirement","Voluntary",L739="Resignation","Voluntary",L739="Layoff","InVoluntary")</f>
        <v>InVoluntary</v>
      </c>
      <c r="N739" s="4" t="s">
        <v>26</v>
      </c>
      <c r="O739" s="41"/>
      <c r="P739">
        <v>1</v>
      </c>
      <c r="Q739" t="s">
        <v>174</v>
      </c>
    </row>
    <row r="740" spans="1:17" x14ac:dyDescent="0.35">
      <c r="A740" s="4">
        <v>4389</v>
      </c>
      <c r="B740" s="5">
        <v>36760</v>
      </c>
      <c r="C740" s="5">
        <v>44153</v>
      </c>
      <c r="D740" s="4">
        <v>20</v>
      </c>
      <c r="E740" s="6" t="str" cm="1">
        <f t="array" ref="E740">_xlfn.IFS(D740&lt;=5,"Newcomer",AND(D740&gt;=6,D740&lt;=10),"Proficient",D740&gt;10,"Expert")</f>
        <v>Expert</v>
      </c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 t="str" cm="1">
        <f t="array" ref="M740">_xlfn.IFS(L740="Retirement","Voluntary",L740="Resignation","Voluntary",L740="Layoff","InVoluntary")</f>
        <v>InVoluntary</v>
      </c>
      <c r="N740" s="4" t="s">
        <v>26</v>
      </c>
      <c r="O740" s="41"/>
      <c r="P740">
        <v>1</v>
      </c>
      <c r="Q740" t="s">
        <v>174</v>
      </c>
    </row>
    <row r="741" spans="1:17" x14ac:dyDescent="0.35">
      <c r="A741" s="4">
        <v>4390</v>
      </c>
      <c r="B741" s="5">
        <v>33886</v>
      </c>
      <c r="C741" s="5">
        <v>43951</v>
      </c>
      <c r="D741" s="4">
        <v>28</v>
      </c>
      <c r="E741" s="6" t="str" cm="1">
        <f t="array" ref="E741">_xlfn.IFS(D741&lt;=5,"Newcomer",AND(D741&gt;=6,D741&lt;=10),"Proficient",D741&gt;10,"Expert")</f>
        <v>Expert</v>
      </c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 t="str" cm="1">
        <f t="array" ref="M741">_xlfn.IFS(L741="Retirement","Voluntary",L741="Resignation","Voluntary",L741="Layoff","InVoluntary")</f>
        <v>InVoluntary</v>
      </c>
      <c r="N741" s="4" t="s">
        <v>26</v>
      </c>
      <c r="O741" s="41"/>
      <c r="P741">
        <v>1</v>
      </c>
      <c r="Q741" t="s">
        <v>174</v>
      </c>
    </row>
    <row r="742" spans="1:17" x14ac:dyDescent="0.35">
      <c r="A742" s="4">
        <v>4391</v>
      </c>
      <c r="B742" s="5">
        <v>35408</v>
      </c>
      <c r="C742" s="5">
        <v>43871</v>
      </c>
      <c r="D742" s="4">
        <v>24</v>
      </c>
      <c r="E742" s="6" t="str" cm="1">
        <f t="array" ref="E742">_xlfn.IFS(D742&lt;=5,"Newcomer",AND(D742&gt;=6,D742&lt;=10),"Proficient",D742&gt;10,"Expert")</f>
        <v>Expert</v>
      </c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 t="str" cm="1">
        <f t="array" ref="M742">_xlfn.IFS(L742="Retirement","Voluntary",L742="Resignation","Voluntary",L742="Layoff","InVoluntary")</f>
        <v>InVoluntary</v>
      </c>
      <c r="N742" s="4" t="s">
        <v>26</v>
      </c>
      <c r="O742" s="41"/>
      <c r="P742">
        <v>1</v>
      </c>
      <c r="Q742" t="s">
        <v>174</v>
      </c>
    </row>
    <row r="743" spans="1:17" x14ac:dyDescent="0.35">
      <c r="A743" s="4">
        <v>4394</v>
      </c>
      <c r="B743" s="5">
        <v>33687</v>
      </c>
      <c r="C743" s="5">
        <v>44029</v>
      </c>
      <c r="D743" s="4">
        <v>28</v>
      </c>
      <c r="E743" s="6" t="str" cm="1">
        <f t="array" ref="E743">_xlfn.IFS(D743&lt;=5,"Newcomer",AND(D743&gt;=6,D743&lt;=10),"Proficient",D743&gt;10,"Expert")</f>
        <v>Expert</v>
      </c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 t="str" cm="1">
        <f t="array" ref="M743">_xlfn.IFS(L743="Retirement","Voluntary",L743="Resignation","Voluntary",L743="Layoff","InVoluntary")</f>
        <v>InVoluntary</v>
      </c>
      <c r="N743" s="4" t="s">
        <v>26</v>
      </c>
      <c r="O743" s="41"/>
      <c r="P743">
        <v>1</v>
      </c>
      <c r="Q743" t="s">
        <v>174</v>
      </c>
    </row>
    <row r="744" spans="1:17" x14ac:dyDescent="0.35">
      <c r="A744" s="4">
        <v>4400</v>
      </c>
      <c r="B744" s="5">
        <v>34229</v>
      </c>
      <c r="C744" s="5">
        <v>43995</v>
      </c>
      <c r="D744" s="4">
        <v>27</v>
      </c>
      <c r="E744" s="6" t="str" cm="1">
        <f t="array" ref="E744">_xlfn.IFS(D744&lt;=5,"Newcomer",AND(D744&gt;=6,D744&lt;=10),"Proficient",D744&gt;10,"Expert")</f>
        <v>Expert</v>
      </c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 t="str" cm="1">
        <f t="array" ref="M744">_xlfn.IFS(L744="Retirement","Voluntary",L744="Resignation","Voluntary",L744="Layoff","InVoluntary")</f>
        <v>InVoluntary</v>
      </c>
      <c r="N744" s="4" t="s">
        <v>26</v>
      </c>
      <c r="O744" s="41"/>
      <c r="P744">
        <v>1</v>
      </c>
      <c r="Q744" t="s">
        <v>174</v>
      </c>
    </row>
    <row r="745" spans="1:17" x14ac:dyDescent="0.35">
      <c r="A745" s="4">
        <v>4401</v>
      </c>
      <c r="B745" s="5">
        <v>33971</v>
      </c>
      <c r="C745" s="5">
        <v>43849</v>
      </c>
      <c r="D745" s="4">
        <v>27</v>
      </c>
      <c r="E745" s="6" t="str" cm="1">
        <f t="array" ref="E745">_xlfn.IFS(D745&lt;=5,"Newcomer",AND(D745&gt;=6,D745&lt;=10),"Proficient",D745&gt;10,"Expert")</f>
        <v>Expert</v>
      </c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 t="str" cm="1">
        <f t="array" ref="M745">_xlfn.IFS(L745="Retirement","Voluntary",L745="Resignation","Voluntary",L745="Layoff","InVoluntary")</f>
        <v>InVoluntary</v>
      </c>
      <c r="N745" s="4" t="s">
        <v>26</v>
      </c>
      <c r="O745" s="41"/>
      <c r="P745">
        <v>1</v>
      </c>
      <c r="Q745" t="s">
        <v>174</v>
      </c>
    </row>
    <row r="746" spans="1:17" x14ac:dyDescent="0.35">
      <c r="A746" s="4">
        <v>4406</v>
      </c>
      <c r="B746" s="5">
        <v>37704</v>
      </c>
      <c r="C746" s="5">
        <v>43923</v>
      </c>
      <c r="D746" s="4">
        <v>17</v>
      </c>
      <c r="E746" s="6" t="str" cm="1">
        <f t="array" ref="E746">_xlfn.IFS(D746&lt;=5,"Newcomer",AND(D746&gt;=6,D746&lt;=10),"Proficient",D746&gt;10,"Expert")</f>
        <v>Expert</v>
      </c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 t="str" cm="1">
        <f t="array" ref="M746">_xlfn.IFS(L746="Retirement","Voluntary",L746="Resignation","Voluntary",L746="Layoff","InVoluntary")</f>
        <v>InVoluntary</v>
      </c>
      <c r="N746" s="4" t="s">
        <v>26</v>
      </c>
      <c r="O746" s="41"/>
      <c r="P746">
        <v>1</v>
      </c>
      <c r="Q746" t="s">
        <v>174</v>
      </c>
    </row>
    <row r="747" spans="1:17" x14ac:dyDescent="0.35">
      <c r="A747" s="4">
        <v>4408</v>
      </c>
      <c r="B747" s="5">
        <v>34657</v>
      </c>
      <c r="C747" s="5">
        <v>44059</v>
      </c>
      <c r="D747" s="4">
        <v>26</v>
      </c>
      <c r="E747" s="6" t="str" cm="1">
        <f t="array" ref="E747">_xlfn.IFS(D747&lt;=5,"Newcomer",AND(D747&gt;=6,D747&lt;=10),"Proficient",D747&gt;10,"Expert")</f>
        <v>Expert</v>
      </c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 t="str" cm="1">
        <f t="array" ref="M747">_xlfn.IFS(L747="Retirement","Voluntary",L747="Resignation","Voluntary",L747="Layoff","InVoluntary")</f>
        <v>InVoluntary</v>
      </c>
      <c r="N747" s="4" t="s">
        <v>26</v>
      </c>
      <c r="O747" s="41"/>
      <c r="P747">
        <v>1</v>
      </c>
      <c r="Q747" t="s">
        <v>174</v>
      </c>
    </row>
    <row r="748" spans="1:17" x14ac:dyDescent="0.35">
      <c r="A748" s="4">
        <v>4409</v>
      </c>
      <c r="B748" s="5">
        <v>37373</v>
      </c>
      <c r="C748" s="5">
        <v>44016</v>
      </c>
      <c r="D748" s="4">
        <v>18</v>
      </c>
      <c r="E748" s="6" t="str" cm="1">
        <f t="array" ref="E748">_xlfn.IFS(D748&lt;=5,"Newcomer",AND(D748&gt;=6,D748&lt;=10),"Proficient",D748&gt;10,"Expert")</f>
        <v>Expert</v>
      </c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 t="str" cm="1">
        <f t="array" ref="M748">_xlfn.IFS(L748="Retirement","Voluntary",L748="Resignation","Voluntary",L748="Layoff","InVoluntary")</f>
        <v>InVoluntary</v>
      </c>
      <c r="N748" s="4" t="s">
        <v>26</v>
      </c>
      <c r="O748" s="41"/>
      <c r="P748">
        <v>1</v>
      </c>
      <c r="Q748" t="s">
        <v>174</v>
      </c>
    </row>
    <row r="749" spans="1:17" x14ac:dyDescent="0.35">
      <c r="A749" s="4">
        <v>4412</v>
      </c>
      <c r="B749" s="5">
        <v>33484</v>
      </c>
      <c r="C749" s="5">
        <v>44195</v>
      </c>
      <c r="D749" s="4">
        <v>29</v>
      </c>
      <c r="E749" s="6" t="str" cm="1">
        <f t="array" ref="E749">_xlfn.IFS(D749&lt;=5,"Newcomer",AND(D749&gt;=6,D749&lt;=10),"Proficient",D749&gt;10,"Expert")</f>
        <v>Expert</v>
      </c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 t="str" cm="1">
        <f t="array" ref="M749">_xlfn.IFS(L749="Retirement","Voluntary",L749="Resignation","Voluntary",L749="Layoff","InVoluntary")</f>
        <v>InVoluntary</v>
      </c>
      <c r="N749" s="4" t="s">
        <v>26</v>
      </c>
      <c r="O749" s="41"/>
      <c r="P749">
        <v>1</v>
      </c>
      <c r="Q749" t="s">
        <v>174</v>
      </c>
    </row>
    <row r="750" spans="1:17" x14ac:dyDescent="0.35">
      <c r="A750" s="4">
        <v>4419</v>
      </c>
      <c r="B750" s="5">
        <v>38177</v>
      </c>
      <c r="C750" s="5">
        <v>43891</v>
      </c>
      <c r="D750" s="4">
        <v>16</v>
      </c>
      <c r="E750" s="6" t="str" cm="1">
        <f t="array" ref="E750">_xlfn.IFS(D750&lt;=5,"Newcomer",AND(D750&gt;=6,D750&lt;=10),"Proficient",D750&gt;10,"Expert")</f>
        <v>Expert</v>
      </c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 t="str" cm="1">
        <f t="array" ref="M750">_xlfn.IFS(L750="Retirement","Voluntary",L750="Resignation","Voluntary",L750="Layoff","InVoluntary")</f>
        <v>InVoluntary</v>
      </c>
      <c r="N750" s="4" t="s">
        <v>26</v>
      </c>
      <c r="O750" s="41"/>
      <c r="P750">
        <v>1</v>
      </c>
      <c r="Q750" t="s">
        <v>174</v>
      </c>
    </row>
    <row r="751" spans="1:17" x14ac:dyDescent="0.35">
      <c r="A751" s="4">
        <v>4430</v>
      </c>
      <c r="B751" s="5">
        <v>36099</v>
      </c>
      <c r="C751" s="5">
        <v>44077</v>
      </c>
      <c r="D751" s="4">
        <v>22</v>
      </c>
      <c r="E751" s="6" t="str" cm="1">
        <f t="array" ref="E751">_xlfn.IFS(D751&lt;=5,"Newcomer",AND(D751&gt;=6,D751&lt;=10),"Proficient",D751&gt;10,"Expert")</f>
        <v>Expert</v>
      </c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 t="str" cm="1">
        <f t="array" ref="M751">_xlfn.IFS(L751="Retirement","Voluntary",L751="Resignation","Voluntary",L751="Layoff","InVoluntary")</f>
        <v>InVoluntary</v>
      </c>
      <c r="N751" s="4" t="s">
        <v>26</v>
      </c>
      <c r="O751" s="41"/>
      <c r="P751">
        <v>1</v>
      </c>
      <c r="Q751" t="s">
        <v>174</v>
      </c>
    </row>
    <row r="752" spans="1:17" x14ac:dyDescent="0.35">
      <c r="A752" s="4">
        <v>4431</v>
      </c>
      <c r="B752" s="5">
        <v>41418</v>
      </c>
      <c r="C752" s="5">
        <v>44087</v>
      </c>
      <c r="D752" s="4">
        <v>7</v>
      </c>
      <c r="E752" s="6" t="str" cm="1">
        <f t="array" ref="E752">_xlfn.IFS(D752&lt;=5,"Newcomer",AND(D752&gt;=6,D752&lt;=10),"Proficient",D752&gt;10,"Expert")</f>
        <v>Proficient</v>
      </c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 t="str" cm="1">
        <f t="array" ref="M752">_xlfn.IFS(L752="Retirement","Voluntary",L752="Resignation","Voluntary",L752="Layoff","InVoluntary")</f>
        <v>InVoluntary</v>
      </c>
      <c r="N752" s="4" t="s">
        <v>26</v>
      </c>
      <c r="O752" s="41"/>
      <c r="P752">
        <v>1</v>
      </c>
      <c r="Q752" t="s">
        <v>174</v>
      </c>
    </row>
    <row r="753" spans="1:17" x14ac:dyDescent="0.35">
      <c r="A753" s="4">
        <v>4432</v>
      </c>
      <c r="B753" s="5">
        <v>38738</v>
      </c>
      <c r="C753" s="5">
        <v>44014</v>
      </c>
      <c r="D753" s="4">
        <v>14</v>
      </c>
      <c r="E753" s="6" t="str" cm="1">
        <f t="array" ref="E753">_xlfn.IFS(D753&lt;=5,"Newcomer",AND(D753&gt;=6,D753&lt;=10),"Proficient",D753&gt;10,"Expert")</f>
        <v>Expert</v>
      </c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 t="str" cm="1">
        <f t="array" ref="M753">_xlfn.IFS(L753="Retirement","Voluntary",L753="Resignation","Voluntary",L753="Layoff","InVoluntary")</f>
        <v>InVoluntary</v>
      </c>
      <c r="N753" s="4" t="s">
        <v>26</v>
      </c>
      <c r="O753" s="41"/>
      <c r="P753">
        <v>1</v>
      </c>
      <c r="Q753" t="s">
        <v>174</v>
      </c>
    </row>
    <row r="754" spans="1:17" x14ac:dyDescent="0.35">
      <c r="A754" s="4">
        <v>4434</v>
      </c>
      <c r="B754" s="5">
        <v>37595</v>
      </c>
      <c r="C754" s="5">
        <v>44114</v>
      </c>
      <c r="D754" s="4">
        <v>18</v>
      </c>
      <c r="E754" s="6" t="str" cm="1">
        <f t="array" ref="E754">_xlfn.IFS(D754&lt;=5,"Newcomer",AND(D754&gt;=6,D754&lt;=10),"Proficient",D754&gt;10,"Expert")</f>
        <v>Expert</v>
      </c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 t="str" cm="1">
        <f t="array" ref="M754">_xlfn.IFS(L754="Retirement","Voluntary",L754="Resignation","Voluntary",L754="Layoff","InVoluntary")</f>
        <v>InVoluntary</v>
      </c>
      <c r="N754" s="4" t="s">
        <v>26</v>
      </c>
      <c r="O754" s="41"/>
      <c r="P754">
        <v>1</v>
      </c>
      <c r="Q754" t="s">
        <v>174</v>
      </c>
    </row>
    <row r="755" spans="1:17" x14ac:dyDescent="0.35">
      <c r="A755" s="4">
        <v>4437</v>
      </c>
      <c r="B755" s="5">
        <v>39429</v>
      </c>
      <c r="C755" s="5">
        <v>43942</v>
      </c>
      <c r="D755" s="4">
        <v>13</v>
      </c>
      <c r="E755" s="6" t="str" cm="1">
        <f t="array" ref="E755">_xlfn.IFS(D755&lt;=5,"Newcomer",AND(D755&gt;=6,D755&lt;=10),"Proficient",D755&gt;10,"Expert")</f>
        <v>Expert</v>
      </c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 t="str" cm="1">
        <f t="array" ref="M755">_xlfn.IFS(L755="Retirement","Voluntary",L755="Resignation","Voluntary",L755="Layoff","InVoluntary")</f>
        <v>Voluntary</v>
      </c>
      <c r="N755" s="4" t="s">
        <v>26</v>
      </c>
      <c r="O755" s="41"/>
      <c r="P755">
        <v>1</v>
      </c>
      <c r="Q755" t="s">
        <v>173</v>
      </c>
    </row>
    <row r="756" spans="1:17" x14ac:dyDescent="0.35">
      <c r="A756" s="4">
        <v>4439</v>
      </c>
      <c r="B756" s="5">
        <v>36106</v>
      </c>
      <c r="C756" s="5">
        <v>44108</v>
      </c>
      <c r="D756" s="4">
        <v>22</v>
      </c>
      <c r="E756" s="6" t="str" cm="1">
        <f t="array" ref="E756">_xlfn.IFS(D756&lt;=5,"Newcomer",AND(D756&gt;=6,D756&lt;=10),"Proficient",D756&gt;10,"Expert")</f>
        <v>Expert</v>
      </c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 t="str" cm="1">
        <f t="array" ref="M756">_xlfn.IFS(L756="Retirement","Voluntary",L756="Resignation","Voluntary",L756="Layoff","InVoluntary")</f>
        <v>InVoluntary</v>
      </c>
      <c r="N756" s="4" t="s">
        <v>26</v>
      </c>
      <c r="O756" s="41"/>
      <c r="P756">
        <v>1</v>
      </c>
      <c r="Q756" t="s">
        <v>174</v>
      </c>
    </row>
    <row r="757" spans="1:17" x14ac:dyDescent="0.35">
      <c r="A757" s="4">
        <v>4440</v>
      </c>
      <c r="B757" s="5">
        <v>41939</v>
      </c>
      <c r="C757" s="5">
        <v>44161</v>
      </c>
      <c r="D757" s="4">
        <v>6</v>
      </c>
      <c r="E757" s="6" t="str" cm="1">
        <f t="array" ref="E757">_xlfn.IFS(D757&lt;=5,"Newcomer",AND(D757&gt;=6,D757&lt;=10),"Proficient",D757&gt;10,"Expert")</f>
        <v>Proficient</v>
      </c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 t="str" cm="1">
        <f t="array" ref="M757">_xlfn.IFS(L757="Retirement","Voluntary",L757="Resignation","Voluntary",L757="Layoff","InVoluntary")</f>
        <v>InVoluntary</v>
      </c>
      <c r="N757" s="4" t="s">
        <v>26</v>
      </c>
      <c r="O757" s="41"/>
      <c r="P757">
        <v>1</v>
      </c>
      <c r="Q757" t="s">
        <v>174</v>
      </c>
    </row>
    <row r="758" spans="1:17" x14ac:dyDescent="0.35">
      <c r="A758" s="4">
        <v>4442</v>
      </c>
      <c r="B758" s="5">
        <v>36709</v>
      </c>
      <c r="C758" s="5">
        <v>44014</v>
      </c>
      <c r="D758" s="4">
        <v>20</v>
      </c>
      <c r="E758" s="6" t="str" cm="1">
        <f t="array" ref="E758">_xlfn.IFS(D758&lt;=5,"Newcomer",AND(D758&gt;=6,D758&lt;=10),"Proficient",D758&gt;10,"Expert")</f>
        <v>Expert</v>
      </c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 t="str" cm="1">
        <f t="array" ref="M758">_xlfn.IFS(L758="Retirement","Voluntary",L758="Resignation","Voluntary",L758="Layoff","InVoluntary")</f>
        <v>InVoluntary</v>
      </c>
      <c r="N758" s="4" t="s">
        <v>26</v>
      </c>
      <c r="O758" s="41"/>
      <c r="P758">
        <v>1</v>
      </c>
      <c r="Q758" t="s">
        <v>174</v>
      </c>
    </row>
    <row r="759" spans="1:17" x14ac:dyDescent="0.35">
      <c r="A759" s="4">
        <v>4445</v>
      </c>
      <c r="B759" s="5">
        <v>40599</v>
      </c>
      <c r="C759" s="5">
        <v>44089</v>
      </c>
      <c r="D759" s="4">
        <v>9</v>
      </c>
      <c r="E759" s="6" t="str" cm="1">
        <f t="array" ref="E759">_xlfn.IFS(D759&lt;=5,"Newcomer",AND(D759&gt;=6,D759&lt;=10),"Proficient",D759&gt;10,"Expert")</f>
        <v>Proficient</v>
      </c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 t="str" cm="1">
        <f t="array" ref="M759">_xlfn.IFS(L759="Retirement","Voluntary",L759="Resignation","Voluntary",L759="Layoff","InVoluntary")</f>
        <v>InVoluntary</v>
      </c>
      <c r="N759" s="4" t="s">
        <v>26</v>
      </c>
      <c r="O759" s="41"/>
      <c r="P759">
        <v>1</v>
      </c>
      <c r="Q759" t="s">
        <v>174</v>
      </c>
    </row>
    <row r="760" spans="1:17" x14ac:dyDescent="0.35">
      <c r="A760" s="4">
        <v>4448</v>
      </c>
      <c r="B760" s="5">
        <v>33904</v>
      </c>
      <c r="C760" s="5">
        <v>43893</v>
      </c>
      <c r="D760" s="4">
        <v>28</v>
      </c>
      <c r="E760" s="6" t="str" cm="1">
        <f t="array" ref="E760">_xlfn.IFS(D760&lt;=5,"Newcomer",AND(D760&gt;=6,D760&lt;=10),"Proficient",D760&gt;10,"Expert")</f>
        <v>Expert</v>
      </c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 t="str" cm="1">
        <f t="array" ref="M760">_xlfn.IFS(L760="Retirement","Voluntary",L760="Resignation","Voluntary",L760="Layoff","InVoluntary")</f>
        <v>InVoluntary</v>
      </c>
      <c r="N760" s="4" t="s">
        <v>26</v>
      </c>
      <c r="O760" s="41"/>
      <c r="P760">
        <v>1</v>
      </c>
      <c r="Q760" t="s">
        <v>174</v>
      </c>
    </row>
    <row r="761" spans="1:17" x14ac:dyDescent="0.35">
      <c r="A761" s="4">
        <v>4449</v>
      </c>
      <c r="B761" s="5">
        <v>35000</v>
      </c>
      <c r="C761" s="5">
        <v>43947</v>
      </c>
      <c r="D761" s="4">
        <v>25</v>
      </c>
      <c r="E761" s="6" t="str" cm="1">
        <f t="array" ref="E761">_xlfn.IFS(D761&lt;=5,"Newcomer",AND(D761&gt;=6,D761&lt;=10),"Proficient",D761&gt;10,"Expert")</f>
        <v>Expert</v>
      </c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 t="str" cm="1">
        <f t="array" ref="M761">_xlfn.IFS(L761="Retirement","Voluntary",L761="Resignation","Voluntary",L761="Layoff","InVoluntary")</f>
        <v>InVoluntary</v>
      </c>
      <c r="N761" s="4" t="s">
        <v>26</v>
      </c>
      <c r="O761" s="41"/>
      <c r="P761">
        <v>1</v>
      </c>
      <c r="Q761" t="s">
        <v>174</v>
      </c>
    </row>
    <row r="762" spans="1:17" x14ac:dyDescent="0.35">
      <c r="A762" s="4">
        <v>4450</v>
      </c>
      <c r="B762" s="5">
        <v>37934</v>
      </c>
      <c r="C762" s="5">
        <v>44037</v>
      </c>
      <c r="D762" s="4">
        <v>17</v>
      </c>
      <c r="E762" s="6" t="str" cm="1">
        <f t="array" ref="E762">_xlfn.IFS(D762&lt;=5,"Newcomer",AND(D762&gt;=6,D762&lt;=10),"Proficient",D762&gt;10,"Expert")</f>
        <v>Expert</v>
      </c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 t="str" cm="1">
        <f t="array" ref="M762">_xlfn.IFS(L762="Retirement","Voluntary",L762="Resignation","Voluntary",L762="Layoff","InVoluntary")</f>
        <v>InVoluntary</v>
      </c>
      <c r="N762" s="4" t="s">
        <v>26</v>
      </c>
      <c r="O762" s="41"/>
      <c r="P762">
        <v>1</v>
      </c>
      <c r="Q762" t="s">
        <v>174</v>
      </c>
    </row>
    <row r="763" spans="1:17" x14ac:dyDescent="0.35">
      <c r="A763" s="4">
        <v>4451</v>
      </c>
      <c r="B763" s="5">
        <v>40917</v>
      </c>
      <c r="C763" s="5">
        <v>44026</v>
      </c>
      <c r="D763" s="4">
        <v>8</v>
      </c>
      <c r="E763" s="6" t="str" cm="1">
        <f t="array" ref="E763">_xlfn.IFS(D763&lt;=5,"Newcomer",AND(D763&gt;=6,D763&lt;=10),"Proficient",D763&gt;10,"Expert")</f>
        <v>Proficient</v>
      </c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 t="str" cm="1">
        <f t="array" ref="M763">_xlfn.IFS(L763="Retirement","Voluntary",L763="Resignation","Voluntary",L763="Layoff","InVoluntary")</f>
        <v>InVoluntary</v>
      </c>
      <c r="N763" s="4" t="s">
        <v>26</v>
      </c>
      <c r="O763" s="41"/>
      <c r="P763">
        <v>1</v>
      </c>
      <c r="Q763" t="s">
        <v>174</v>
      </c>
    </row>
    <row r="764" spans="1:17" x14ac:dyDescent="0.35">
      <c r="A764" s="4">
        <v>4458</v>
      </c>
      <c r="B764" s="5">
        <v>41395</v>
      </c>
      <c r="C764" s="5">
        <v>44175</v>
      </c>
      <c r="D764" s="4">
        <v>7</v>
      </c>
      <c r="E764" s="6" t="str" cm="1">
        <f t="array" ref="E764">_xlfn.IFS(D764&lt;=5,"Newcomer",AND(D764&gt;=6,D764&lt;=10),"Proficient",D764&gt;10,"Expert")</f>
        <v>Proficient</v>
      </c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 t="str" cm="1">
        <f t="array" ref="M764">_xlfn.IFS(L764="Retirement","Voluntary",L764="Resignation","Voluntary",L764="Layoff","InVoluntary")</f>
        <v>InVoluntary</v>
      </c>
      <c r="N764" s="4" t="s">
        <v>26</v>
      </c>
      <c r="O764" s="41"/>
      <c r="P764">
        <v>1</v>
      </c>
      <c r="Q764" t="s">
        <v>174</v>
      </c>
    </row>
    <row r="765" spans="1:17" x14ac:dyDescent="0.35">
      <c r="A765" s="4">
        <v>4461</v>
      </c>
      <c r="B765" s="5">
        <v>41213</v>
      </c>
      <c r="C765" s="5">
        <v>44150</v>
      </c>
      <c r="D765" s="4">
        <v>8</v>
      </c>
      <c r="E765" s="6" t="str" cm="1">
        <f t="array" ref="E765">_xlfn.IFS(D765&lt;=5,"Newcomer",AND(D765&gt;=6,D765&lt;=10),"Proficient",D765&gt;10,"Expert")</f>
        <v>Proficient</v>
      </c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 t="str" cm="1">
        <f t="array" ref="M765">_xlfn.IFS(L765="Retirement","Voluntary",L765="Resignation","Voluntary",L765="Layoff","InVoluntary")</f>
        <v>InVoluntary</v>
      </c>
      <c r="N765" s="4" t="s">
        <v>26</v>
      </c>
      <c r="O765" s="41"/>
      <c r="P765">
        <v>1</v>
      </c>
      <c r="Q765" t="s">
        <v>174</v>
      </c>
    </row>
    <row r="766" spans="1:17" x14ac:dyDescent="0.35">
      <c r="A766" s="4">
        <v>4465</v>
      </c>
      <c r="B766" s="5">
        <v>33059</v>
      </c>
      <c r="C766" s="5">
        <v>43951</v>
      </c>
      <c r="D766" s="4">
        <v>30</v>
      </c>
      <c r="E766" s="6" t="str" cm="1">
        <f t="array" ref="E766">_xlfn.IFS(D766&lt;=5,"Newcomer",AND(D766&gt;=6,D766&lt;=10),"Proficient",D766&gt;10,"Expert")</f>
        <v>Expert</v>
      </c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 t="str" cm="1">
        <f t="array" ref="M766">_xlfn.IFS(L766="Retirement","Voluntary",L766="Resignation","Voluntary",L766="Layoff","InVoluntary")</f>
        <v>InVoluntary</v>
      </c>
      <c r="N766" s="4" t="s">
        <v>26</v>
      </c>
      <c r="O766" s="41"/>
      <c r="P766">
        <v>1</v>
      </c>
      <c r="Q766" t="s">
        <v>174</v>
      </c>
    </row>
    <row r="767" spans="1:17" x14ac:dyDescent="0.35">
      <c r="A767" s="4">
        <v>4466</v>
      </c>
      <c r="B767" s="5">
        <v>35811</v>
      </c>
      <c r="C767" s="5">
        <v>43879</v>
      </c>
      <c r="D767" s="4">
        <v>22</v>
      </c>
      <c r="E767" s="6" t="str" cm="1">
        <f t="array" ref="E767">_xlfn.IFS(D767&lt;=5,"Newcomer",AND(D767&gt;=6,D767&lt;=10),"Proficient",D767&gt;10,"Expert")</f>
        <v>Expert</v>
      </c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 t="str" cm="1">
        <f t="array" ref="M767">_xlfn.IFS(L767="Retirement","Voluntary",L767="Resignation","Voluntary",L767="Layoff","InVoluntary")</f>
        <v>InVoluntary</v>
      </c>
      <c r="N767" s="4" t="s">
        <v>26</v>
      </c>
      <c r="O767" s="41"/>
      <c r="P767">
        <v>1</v>
      </c>
      <c r="Q767" t="s">
        <v>174</v>
      </c>
    </row>
    <row r="768" spans="1:17" x14ac:dyDescent="0.35">
      <c r="A768" s="4">
        <v>4473</v>
      </c>
      <c r="B768" s="5">
        <v>39896</v>
      </c>
      <c r="C768" s="5">
        <v>43893</v>
      </c>
      <c r="D768" s="4">
        <v>11</v>
      </c>
      <c r="E768" s="6" t="str" cm="1">
        <f t="array" ref="E768">_xlfn.IFS(D768&lt;=5,"Newcomer",AND(D768&gt;=6,D768&lt;=10),"Proficient",D768&gt;10,"Expert")</f>
        <v>Expert</v>
      </c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 t="str" cm="1">
        <f t="array" ref="M768">_xlfn.IFS(L768="Retirement","Voluntary",L768="Resignation","Voluntary",L768="Layoff","InVoluntary")</f>
        <v>InVoluntary</v>
      </c>
      <c r="N768" s="4" t="s">
        <v>26</v>
      </c>
      <c r="O768" s="41"/>
      <c r="P768">
        <v>1</v>
      </c>
      <c r="Q768" t="s">
        <v>174</v>
      </c>
    </row>
    <row r="769" spans="1:17" x14ac:dyDescent="0.35">
      <c r="A769" s="4">
        <v>4474</v>
      </c>
      <c r="B769" s="5">
        <v>39974</v>
      </c>
      <c r="C769" s="5">
        <v>43982</v>
      </c>
      <c r="D769" s="4">
        <v>11</v>
      </c>
      <c r="E769" s="6" t="str" cm="1">
        <f t="array" ref="E769">_xlfn.IFS(D769&lt;=5,"Newcomer",AND(D769&gt;=6,D769&lt;=10),"Proficient",D769&gt;10,"Expert")</f>
        <v>Expert</v>
      </c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 t="str" cm="1">
        <f t="array" ref="M769">_xlfn.IFS(L769="Retirement","Voluntary",L769="Resignation","Voluntary",L769="Layoff","InVoluntary")</f>
        <v>InVoluntary</v>
      </c>
      <c r="N769" s="4" t="s">
        <v>26</v>
      </c>
      <c r="O769" s="41"/>
      <c r="P769">
        <v>1</v>
      </c>
      <c r="Q769" t="s">
        <v>174</v>
      </c>
    </row>
    <row r="770" spans="1:17" x14ac:dyDescent="0.35">
      <c r="A770" s="4">
        <v>4478</v>
      </c>
      <c r="B770" s="5">
        <v>41546</v>
      </c>
      <c r="C770" s="5">
        <v>43844</v>
      </c>
      <c r="D770" s="4">
        <v>7</v>
      </c>
      <c r="E770" s="6" t="str" cm="1">
        <f t="array" ref="E770">_xlfn.IFS(D770&lt;=5,"Newcomer",AND(D770&gt;=6,D770&lt;=10),"Proficient",D770&gt;10,"Expert")</f>
        <v>Proficient</v>
      </c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 t="str" cm="1">
        <f t="array" ref="M770">_xlfn.IFS(L770="Retirement","Voluntary",L770="Resignation","Voluntary",L770="Layoff","InVoluntary")</f>
        <v>InVoluntary</v>
      </c>
      <c r="N770" s="4" t="s">
        <v>26</v>
      </c>
      <c r="O770" s="41"/>
      <c r="P770">
        <v>1</v>
      </c>
      <c r="Q770" t="s">
        <v>174</v>
      </c>
    </row>
    <row r="771" spans="1:17" x14ac:dyDescent="0.35">
      <c r="A771" s="4">
        <v>4479</v>
      </c>
      <c r="B771" s="5">
        <v>37987</v>
      </c>
      <c r="C771" s="5">
        <v>43891</v>
      </c>
      <c r="D771" s="4">
        <v>16</v>
      </c>
      <c r="E771" s="6" t="str" cm="1">
        <f t="array" ref="E771">_xlfn.IFS(D771&lt;=5,"Newcomer",AND(D771&gt;=6,D771&lt;=10),"Proficient",D771&gt;10,"Expert")</f>
        <v>Expert</v>
      </c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 t="str" cm="1">
        <f t="array" ref="M771">_xlfn.IFS(L771="Retirement","Voluntary",L771="Resignation","Voluntary",L771="Layoff","InVoluntary")</f>
        <v>InVoluntary</v>
      </c>
      <c r="N771" s="4" t="s">
        <v>26</v>
      </c>
      <c r="O771" s="41"/>
      <c r="P771">
        <v>1</v>
      </c>
      <c r="Q771" t="s">
        <v>174</v>
      </c>
    </row>
    <row r="772" spans="1:17" x14ac:dyDescent="0.35">
      <c r="A772" s="4">
        <v>4480</v>
      </c>
      <c r="B772" s="5">
        <v>35181</v>
      </c>
      <c r="C772" s="5">
        <v>44151</v>
      </c>
      <c r="D772" s="4">
        <v>24</v>
      </c>
      <c r="E772" s="6" t="str" cm="1">
        <f t="array" ref="E772">_xlfn.IFS(D772&lt;=5,"Newcomer",AND(D772&gt;=6,D772&lt;=10),"Proficient",D772&gt;10,"Expert")</f>
        <v>Expert</v>
      </c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 t="str" cm="1">
        <f t="array" ref="M772">_xlfn.IFS(L772="Retirement","Voluntary",L772="Resignation","Voluntary",L772="Layoff","InVoluntary")</f>
        <v>InVoluntary</v>
      </c>
      <c r="N772" s="4" t="s">
        <v>26</v>
      </c>
      <c r="O772" s="41"/>
      <c r="P772">
        <v>1</v>
      </c>
      <c r="Q772" t="s">
        <v>174</v>
      </c>
    </row>
    <row r="773" spans="1:17" x14ac:dyDescent="0.35">
      <c r="A773" s="4">
        <v>4481</v>
      </c>
      <c r="B773" s="5">
        <v>41606</v>
      </c>
      <c r="C773" s="5">
        <v>44090</v>
      </c>
      <c r="D773" s="4">
        <v>7</v>
      </c>
      <c r="E773" s="6" t="str" cm="1">
        <f t="array" ref="E773">_xlfn.IFS(D773&lt;=5,"Newcomer",AND(D773&gt;=6,D773&lt;=10),"Proficient",D773&gt;10,"Expert")</f>
        <v>Proficient</v>
      </c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 t="str" cm="1">
        <f t="array" ref="M773">_xlfn.IFS(L773="Retirement","Voluntary",L773="Resignation","Voluntary",L773="Layoff","InVoluntary")</f>
        <v>InVoluntary</v>
      </c>
      <c r="N773" s="4" t="s">
        <v>26</v>
      </c>
      <c r="O773" s="41"/>
      <c r="P773">
        <v>1</v>
      </c>
      <c r="Q773" t="s">
        <v>174</v>
      </c>
    </row>
    <row r="774" spans="1:17" x14ac:dyDescent="0.35">
      <c r="A774" s="4">
        <v>4482</v>
      </c>
      <c r="B774" s="5">
        <v>34820</v>
      </c>
      <c r="C774" s="5">
        <v>43988</v>
      </c>
      <c r="D774" s="4">
        <v>25</v>
      </c>
      <c r="E774" s="6" t="str" cm="1">
        <f t="array" ref="E774">_xlfn.IFS(D774&lt;=5,"Newcomer",AND(D774&gt;=6,D774&lt;=10),"Proficient",D774&gt;10,"Expert")</f>
        <v>Expert</v>
      </c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 t="str" cm="1">
        <f t="array" ref="M774">_xlfn.IFS(L774="Retirement","Voluntary",L774="Resignation","Voluntary",L774="Layoff","InVoluntary")</f>
        <v>InVoluntary</v>
      </c>
      <c r="N774" s="4" t="s">
        <v>26</v>
      </c>
      <c r="O774" s="41"/>
      <c r="P774">
        <v>1</v>
      </c>
      <c r="Q774" t="s">
        <v>174</v>
      </c>
    </row>
    <row r="775" spans="1:17" x14ac:dyDescent="0.35">
      <c r="A775" s="4">
        <v>4486</v>
      </c>
      <c r="B775" s="5">
        <v>39631</v>
      </c>
      <c r="C775" s="5">
        <v>44189</v>
      </c>
      <c r="D775" s="4">
        <v>12</v>
      </c>
      <c r="E775" s="6" t="str" cm="1">
        <f t="array" ref="E775">_xlfn.IFS(D775&lt;=5,"Newcomer",AND(D775&gt;=6,D775&lt;=10),"Proficient",D775&gt;10,"Expert")</f>
        <v>Expert</v>
      </c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 t="str" cm="1">
        <f t="array" ref="M775">_xlfn.IFS(L775="Retirement","Voluntary",L775="Resignation","Voluntary",L775="Layoff","InVoluntary")</f>
        <v>InVoluntary</v>
      </c>
      <c r="N775" s="4" t="s">
        <v>26</v>
      </c>
      <c r="O775" s="41"/>
      <c r="P775">
        <v>1</v>
      </c>
      <c r="Q775" t="s">
        <v>174</v>
      </c>
    </row>
    <row r="776" spans="1:17" x14ac:dyDescent="0.35">
      <c r="A776" s="4">
        <v>4488</v>
      </c>
      <c r="B776" s="5">
        <v>41677</v>
      </c>
      <c r="C776" s="5">
        <v>43988</v>
      </c>
      <c r="D776" s="4">
        <v>6</v>
      </c>
      <c r="E776" s="6" t="str" cm="1">
        <f t="array" ref="E776">_xlfn.IFS(D776&lt;=5,"Newcomer",AND(D776&gt;=6,D776&lt;=10),"Proficient",D776&gt;10,"Expert")</f>
        <v>Proficient</v>
      </c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 t="str" cm="1">
        <f t="array" ref="M776">_xlfn.IFS(L776="Retirement","Voluntary",L776="Resignation","Voluntary",L776="Layoff","InVoluntary")</f>
        <v>InVoluntary</v>
      </c>
      <c r="N776" s="4" t="s">
        <v>26</v>
      </c>
      <c r="O776" s="41"/>
      <c r="P776">
        <v>1</v>
      </c>
      <c r="Q776" t="s">
        <v>174</v>
      </c>
    </row>
    <row r="777" spans="1:17" x14ac:dyDescent="0.35">
      <c r="A777" s="4">
        <v>4491</v>
      </c>
      <c r="B777" s="5">
        <v>35818</v>
      </c>
      <c r="C777" s="5">
        <v>44097</v>
      </c>
      <c r="D777" s="4">
        <v>22</v>
      </c>
      <c r="E777" s="6" t="str" cm="1">
        <f t="array" ref="E777">_xlfn.IFS(D777&lt;=5,"Newcomer",AND(D777&gt;=6,D777&lt;=10),"Proficient",D777&gt;10,"Expert")</f>
        <v>Expert</v>
      </c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 t="str" cm="1">
        <f t="array" ref="M777">_xlfn.IFS(L777="Retirement","Voluntary",L777="Resignation","Voluntary",L777="Layoff","InVoluntary")</f>
        <v>InVoluntary</v>
      </c>
      <c r="N777" s="4" t="s">
        <v>26</v>
      </c>
      <c r="O777" s="41"/>
      <c r="P777">
        <v>1</v>
      </c>
      <c r="Q777" t="s">
        <v>174</v>
      </c>
    </row>
    <row r="778" spans="1:17" x14ac:dyDescent="0.35">
      <c r="A778" s="4">
        <v>4493</v>
      </c>
      <c r="B778" s="5">
        <v>37432</v>
      </c>
      <c r="C778" s="5">
        <v>43837</v>
      </c>
      <c r="D778" s="4">
        <v>18</v>
      </c>
      <c r="E778" s="6" t="str" cm="1">
        <f t="array" ref="E778">_xlfn.IFS(D778&lt;=5,"Newcomer",AND(D778&gt;=6,D778&lt;=10),"Proficient",D778&gt;10,"Expert")</f>
        <v>Expert</v>
      </c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 t="str" cm="1">
        <f t="array" ref="M778">_xlfn.IFS(L778="Retirement","Voluntary",L778="Resignation","Voluntary",L778="Layoff","InVoluntary")</f>
        <v>InVoluntary</v>
      </c>
      <c r="N778" s="4" t="s">
        <v>26</v>
      </c>
      <c r="O778" s="41"/>
      <c r="P778">
        <v>1</v>
      </c>
      <c r="Q778" t="s">
        <v>174</v>
      </c>
    </row>
    <row r="779" spans="1:17" x14ac:dyDescent="0.35">
      <c r="A779" s="4">
        <v>4495</v>
      </c>
      <c r="B779" s="5">
        <v>38187</v>
      </c>
      <c r="C779" s="5">
        <v>44042</v>
      </c>
      <c r="D779" s="4">
        <v>16</v>
      </c>
      <c r="E779" s="6" t="str" cm="1">
        <f t="array" ref="E779">_xlfn.IFS(D779&lt;=5,"Newcomer",AND(D779&gt;=6,D779&lt;=10),"Proficient",D779&gt;10,"Expert")</f>
        <v>Expert</v>
      </c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 t="str" cm="1">
        <f t="array" ref="M779">_xlfn.IFS(L779="Retirement","Voluntary",L779="Resignation","Voluntary",L779="Layoff","InVoluntary")</f>
        <v>InVoluntary</v>
      </c>
      <c r="N779" s="4" t="s">
        <v>26</v>
      </c>
      <c r="O779" s="41"/>
      <c r="P779">
        <v>1</v>
      </c>
      <c r="Q779" t="s">
        <v>174</v>
      </c>
    </row>
    <row r="780" spans="1:17" x14ac:dyDescent="0.35">
      <c r="A780" s="4">
        <v>4496</v>
      </c>
      <c r="B780" s="5">
        <v>41567</v>
      </c>
      <c r="C780" s="5">
        <v>44119</v>
      </c>
      <c r="D780" s="4">
        <v>7</v>
      </c>
      <c r="E780" s="6" t="str" cm="1">
        <f t="array" ref="E780">_xlfn.IFS(D780&lt;=5,"Newcomer",AND(D780&gt;=6,D780&lt;=10),"Proficient",D780&gt;10,"Expert")</f>
        <v>Proficient</v>
      </c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 t="str" cm="1">
        <f t="array" ref="M780">_xlfn.IFS(L780="Retirement","Voluntary",L780="Resignation","Voluntary",L780="Layoff","InVoluntary")</f>
        <v>InVoluntary</v>
      </c>
      <c r="N780" s="4" t="s">
        <v>26</v>
      </c>
      <c r="O780" s="41"/>
      <c r="P780">
        <v>1</v>
      </c>
      <c r="Q780" t="s">
        <v>174</v>
      </c>
    </row>
    <row r="781" spans="1:17" x14ac:dyDescent="0.35">
      <c r="A781" s="4">
        <v>4497</v>
      </c>
      <c r="B781" s="5">
        <v>37631</v>
      </c>
      <c r="C781" s="5">
        <v>44170</v>
      </c>
      <c r="D781" s="4">
        <v>17</v>
      </c>
      <c r="E781" s="6" t="str" cm="1">
        <f t="array" ref="E781">_xlfn.IFS(D781&lt;=5,"Newcomer",AND(D781&gt;=6,D781&lt;=10),"Proficient",D781&gt;10,"Expert")</f>
        <v>Expert</v>
      </c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 t="str" cm="1">
        <f t="array" ref="M781">_xlfn.IFS(L781="Retirement","Voluntary",L781="Resignation","Voluntary",L781="Layoff","InVoluntary")</f>
        <v>InVoluntary</v>
      </c>
      <c r="N781" s="4" t="s">
        <v>26</v>
      </c>
      <c r="O781" s="41"/>
      <c r="P781">
        <v>1</v>
      </c>
      <c r="Q781" t="s">
        <v>174</v>
      </c>
    </row>
    <row r="782" spans="1:17" x14ac:dyDescent="0.35">
      <c r="A782" s="4">
        <v>4500</v>
      </c>
      <c r="B782" s="5">
        <v>33945</v>
      </c>
      <c r="C782" s="5">
        <v>43843</v>
      </c>
      <c r="D782" s="4">
        <v>28</v>
      </c>
      <c r="E782" s="6" t="str" cm="1">
        <f t="array" ref="E782">_xlfn.IFS(D782&lt;=5,"Newcomer",AND(D782&gt;=6,D782&lt;=10),"Proficient",D782&gt;10,"Expert")</f>
        <v>Expert</v>
      </c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 t="str" cm="1">
        <f t="array" ref="M782">_xlfn.IFS(L782="Retirement","Voluntary",L782="Resignation","Voluntary",L782="Layoff","InVoluntary")</f>
        <v>InVoluntary</v>
      </c>
      <c r="N782" s="4" t="s">
        <v>26</v>
      </c>
      <c r="O782" s="41"/>
      <c r="P782">
        <v>1</v>
      </c>
      <c r="Q782" t="s">
        <v>174</v>
      </c>
    </row>
    <row r="783" spans="1:17" x14ac:dyDescent="0.35">
      <c r="A783" s="4">
        <v>4501</v>
      </c>
      <c r="B783" s="5">
        <v>34493</v>
      </c>
      <c r="C783" s="5">
        <v>43904</v>
      </c>
      <c r="D783" s="4">
        <v>26</v>
      </c>
      <c r="E783" s="6" t="str" cm="1">
        <f t="array" ref="E783">_xlfn.IFS(D783&lt;=5,"Newcomer",AND(D783&gt;=6,D783&lt;=10),"Proficient",D783&gt;10,"Expert")</f>
        <v>Expert</v>
      </c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 t="str" cm="1">
        <f t="array" ref="M783">_xlfn.IFS(L783="Retirement","Voluntary",L783="Resignation","Voluntary",L783="Layoff","InVoluntary")</f>
        <v>InVoluntary</v>
      </c>
      <c r="N783" s="4" t="s">
        <v>26</v>
      </c>
      <c r="O783" s="41"/>
      <c r="P783">
        <v>1</v>
      </c>
      <c r="Q783" t="s">
        <v>174</v>
      </c>
    </row>
    <row r="784" spans="1:17" x14ac:dyDescent="0.35">
      <c r="A784" s="4">
        <v>4505</v>
      </c>
      <c r="B784" s="5">
        <v>34791</v>
      </c>
      <c r="C784" s="5">
        <v>43915</v>
      </c>
      <c r="D784" s="4">
        <v>25</v>
      </c>
      <c r="E784" s="6" t="str" cm="1">
        <f t="array" ref="E784">_xlfn.IFS(D784&lt;=5,"Newcomer",AND(D784&gt;=6,D784&lt;=10),"Proficient",D784&gt;10,"Expert")</f>
        <v>Expert</v>
      </c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 t="str" cm="1">
        <f t="array" ref="M784">_xlfn.IFS(L784="Retirement","Voluntary",L784="Resignation","Voluntary",L784="Layoff","InVoluntary")</f>
        <v>InVoluntary</v>
      </c>
      <c r="N784" s="4" t="s">
        <v>26</v>
      </c>
      <c r="O784" s="41"/>
      <c r="P784">
        <v>1</v>
      </c>
      <c r="Q784" t="s">
        <v>174</v>
      </c>
    </row>
    <row r="785" spans="1:17" x14ac:dyDescent="0.35">
      <c r="A785" s="4">
        <v>4506</v>
      </c>
      <c r="B785" s="5">
        <v>35044</v>
      </c>
      <c r="C785" s="5">
        <v>43838</v>
      </c>
      <c r="D785" s="4">
        <v>25</v>
      </c>
      <c r="E785" s="6" t="str" cm="1">
        <f t="array" ref="E785">_xlfn.IFS(D785&lt;=5,"Newcomer",AND(D785&gt;=6,D785&lt;=10),"Proficient",D785&gt;10,"Expert")</f>
        <v>Expert</v>
      </c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 t="str" cm="1">
        <f t="array" ref="M785">_xlfn.IFS(L785="Retirement","Voluntary",L785="Resignation","Voluntary",L785="Layoff","InVoluntary")</f>
        <v>InVoluntary</v>
      </c>
      <c r="N785" s="4" t="s">
        <v>26</v>
      </c>
      <c r="O785" s="41"/>
      <c r="P785">
        <v>1</v>
      </c>
      <c r="Q785" t="s">
        <v>174</v>
      </c>
    </row>
    <row r="786" spans="1:17" x14ac:dyDescent="0.35">
      <c r="A786" s="4">
        <v>4510</v>
      </c>
      <c r="B786" s="5">
        <v>37721</v>
      </c>
      <c r="C786" s="5">
        <v>44008</v>
      </c>
      <c r="D786" s="4">
        <v>17</v>
      </c>
      <c r="E786" s="6" t="str" cm="1">
        <f t="array" ref="E786">_xlfn.IFS(D786&lt;=5,"Newcomer",AND(D786&gt;=6,D786&lt;=10),"Proficient",D786&gt;10,"Expert")</f>
        <v>Expert</v>
      </c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 t="str" cm="1">
        <f t="array" ref="M786">_xlfn.IFS(L786="Retirement","Voluntary",L786="Resignation","Voluntary",L786="Layoff","InVoluntary")</f>
        <v>InVoluntary</v>
      </c>
      <c r="N786" s="4" t="s">
        <v>26</v>
      </c>
      <c r="O786" s="41"/>
      <c r="P786">
        <v>1</v>
      </c>
      <c r="Q786" t="s">
        <v>174</v>
      </c>
    </row>
    <row r="787" spans="1:17" x14ac:dyDescent="0.35">
      <c r="A787" s="4">
        <v>4512</v>
      </c>
      <c r="B787" s="5">
        <v>36181</v>
      </c>
      <c r="C787" s="5">
        <v>44049</v>
      </c>
      <c r="D787" s="4">
        <v>21</v>
      </c>
      <c r="E787" s="6" t="str" cm="1">
        <f t="array" ref="E787">_xlfn.IFS(D787&lt;=5,"Newcomer",AND(D787&gt;=6,D787&lt;=10),"Proficient",D787&gt;10,"Expert")</f>
        <v>Expert</v>
      </c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 t="str" cm="1">
        <f t="array" ref="M787">_xlfn.IFS(L787="Retirement","Voluntary",L787="Resignation","Voluntary",L787="Layoff","InVoluntary")</f>
        <v>InVoluntary</v>
      </c>
      <c r="N787" s="4" t="s">
        <v>26</v>
      </c>
      <c r="O787" s="41"/>
      <c r="P787">
        <v>1</v>
      </c>
      <c r="Q787" t="s">
        <v>174</v>
      </c>
    </row>
    <row r="788" spans="1:17" x14ac:dyDescent="0.35">
      <c r="A788" s="4">
        <v>4514</v>
      </c>
      <c r="B788" s="5">
        <v>37052</v>
      </c>
      <c r="C788" s="5">
        <v>44143</v>
      </c>
      <c r="D788" s="4">
        <v>19</v>
      </c>
      <c r="E788" s="6" t="str" cm="1">
        <f t="array" ref="E788">_xlfn.IFS(D788&lt;=5,"Newcomer",AND(D788&gt;=6,D788&lt;=10),"Proficient",D788&gt;10,"Expert")</f>
        <v>Expert</v>
      </c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 t="str" cm="1">
        <f t="array" ref="M788">_xlfn.IFS(L788="Retirement","Voluntary",L788="Resignation","Voluntary",L788="Layoff","InVoluntary")</f>
        <v>InVoluntary</v>
      </c>
      <c r="N788" s="4" t="s">
        <v>26</v>
      </c>
      <c r="O788" s="41"/>
      <c r="P788">
        <v>1</v>
      </c>
      <c r="Q788" t="s">
        <v>174</v>
      </c>
    </row>
    <row r="789" spans="1:17" x14ac:dyDescent="0.35">
      <c r="A789" s="4">
        <v>4517</v>
      </c>
      <c r="B789" s="5">
        <v>35923</v>
      </c>
      <c r="C789" s="5">
        <v>43834</v>
      </c>
      <c r="D789" s="4">
        <v>22</v>
      </c>
      <c r="E789" s="6" t="str" cm="1">
        <f t="array" ref="E789">_xlfn.IFS(D789&lt;=5,"Newcomer",AND(D789&gt;=6,D789&lt;=10),"Proficient",D789&gt;10,"Expert")</f>
        <v>Expert</v>
      </c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 t="str" cm="1">
        <f t="array" ref="M789">_xlfn.IFS(L789="Retirement","Voluntary",L789="Resignation","Voluntary",L789="Layoff","InVoluntary")</f>
        <v>InVoluntary</v>
      </c>
      <c r="N789" s="4" t="s">
        <v>26</v>
      </c>
      <c r="O789" s="41"/>
      <c r="P789">
        <v>1</v>
      </c>
      <c r="Q789" t="s">
        <v>174</v>
      </c>
    </row>
    <row r="790" spans="1:17" x14ac:dyDescent="0.35">
      <c r="A790" s="4">
        <v>4525</v>
      </c>
      <c r="B790" s="5">
        <v>37982</v>
      </c>
      <c r="C790" s="5">
        <v>43844</v>
      </c>
      <c r="D790" s="4">
        <v>17</v>
      </c>
      <c r="E790" s="6" t="str" cm="1">
        <f t="array" ref="E790">_xlfn.IFS(D790&lt;=5,"Newcomer",AND(D790&gt;=6,D790&lt;=10),"Proficient",D790&gt;10,"Expert")</f>
        <v>Expert</v>
      </c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 t="str" cm="1">
        <f t="array" ref="M790">_xlfn.IFS(L790="Retirement","Voluntary",L790="Resignation","Voluntary",L790="Layoff","InVoluntary")</f>
        <v>InVoluntary</v>
      </c>
      <c r="N790" s="4" t="s">
        <v>26</v>
      </c>
      <c r="O790" s="41"/>
      <c r="P790">
        <v>1</v>
      </c>
      <c r="Q790" t="s">
        <v>174</v>
      </c>
    </row>
    <row r="791" spans="1:17" x14ac:dyDescent="0.35">
      <c r="A791" s="4">
        <v>4534</v>
      </c>
      <c r="B791" s="5">
        <v>35309</v>
      </c>
      <c r="C791" s="5">
        <v>44095</v>
      </c>
      <c r="D791" s="4">
        <v>24</v>
      </c>
      <c r="E791" s="6" t="str" cm="1">
        <f t="array" ref="E791">_xlfn.IFS(D791&lt;=5,"Newcomer",AND(D791&gt;=6,D791&lt;=10),"Proficient",D791&gt;10,"Expert")</f>
        <v>Expert</v>
      </c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 t="str" cm="1">
        <f t="array" ref="M791">_xlfn.IFS(L791="Retirement","Voluntary",L791="Resignation","Voluntary",L791="Layoff","InVoluntary")</f>
        <v>InVoluntary</v>
      </c>
      <c r="N791" s="4" t="s">
        <v>26</v>
      </c>
      <c r="O791" s="41"/>
      <c r="P791">
        <v>1</v>
      </c>
      <c r="Q791" t="s">
        <v>174</v>
      </c>
    </row>
    <row r="792" spans="1:17" x14ac:dyDescent="0.35">
      <c r="A792" s="4">
        <v>4539</v>
      </c>
      <c r="B792" s="5">
        <v>41087</v>
      </c>
      <c r="C792" s="5">
        <v>43898</v>
      </c>
      <c r="D792" s="4">
        <v>8</v>
      </c>
      <c r="E792" s="6" t="str" cm="1">
        <f t="array" ref="E792">_xlfn.IFS(D792&lt;=5,"Newcomer",AND(D792&gt;=6,D792&lt;=10),"Proficient",D792&gt;10,"Expert")</f>
        <v>Proficient</v>
      </c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 t="str" cm="1">
        <f t="array" ref="M792">_xlfn.IFS(L792="Retirement","Voluntary",L792="Resignation","Voluntary",L792="Layoff","InVoluntary")</f>
        <v>InVoluntary</v>
      </c>
      <c r="N792" s="4" t="s">
        <v>26</v>
      </c>
      <c r="O792" s="41"/>
      <c r="P792">
        <v>1</v>
      </c>
      <c r="Q792" t="s">
        <v>174</v>
      </c>
    </row>
    <row r="793" spans="1:17" x14ac:dyDescent="0.35">
      <c r="A793" s="4">
        <v>4540</v>
      </c>
      <c r="B793" s="5">
        <v>40921</v>
      </c>
      <c r="C793" s="5">
        <v>44045</v>
      </c>
      <c r="D793" s="4">
        <v>8</v>
      </c>
      <c r="E793" s="6" t="str" cm="1">
        <f t="array" ref="E793">_xlfn.IFS(D793&lt;=5,"Newcomer",AND(D793&gt;=6,D793&lt;=10),"Proficient",D793&gt;10,"Expert")</f>
        <v>Proficient</v>
      </c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 t="str" cm="1">
        <f t="array" ref="M793">_xlfn.IFS(L793="Retirement","Voluntary",L793="Resignation","Voluntary",L793="Layoff","InVoluntary")</f>
        <v>InVoluntary</v>
      </c>
      <c r="N793" s="4" t="s">
        <v>26</v>
      </c>
      <c r="O793" s="41"/>
      <c r="P793">
        <v>1</v>
      </c>
      <c r="Q793" t="s">
        <v>174</v>
      </c>
    </row>
    <row r="794" spans="1:17" x14ac:dyDescent="0.35">
      <c r="A794" s="4">
        <v>4544</v>
      </c>
      <c r="B794" s="5">
        <v>39679</v>
      </c>
      <c r="C794" s="5">
        <v>44127</v>
      </c>
      <c r="D794" s="4">
        <v>12</v>
      </c>
      <c r="E794" s="6" t="str" cm="1">
        <f t="array" ref="E794">_xlfn.IFS(D794&lt;=5,"Newcomer",AND(D794&gt;=6,D794&lt;=10),"Proficient",D794&gt;10,"Expert")</f>
        <v>Expert</v>
      </c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 t="str" cm="1">
        <f t="array" ref="M794">_xlfn.IFS(L794="Retirement","Voluntary",L794="Resignation","Voluntary",L794="Layoff","InVoluntary")</f>
        <v>InVoluntary</v>
      </c>
      <c r="N794" s="4" t="s">
        <v>26</v>
      </c>
      <c r="O794" s="41"/>
      <c r="P794">
        <v>1</v>
      </c>
      <c r="Q794" t="s">
        <v>174</v>
      </c>
    </row>
    <row r="795" spans="1:17" x14ac:dyDescent="0.35">
      <c r="A795" s="4">
        <v>4546</v>
      </c>
      <c r="B795" s="5">
        <v>33675</v>
      </c>
      <c r="C795" s="5">
        <v>44087</v>
      </c>
      <c r="D795" s="4">
        <v>28</v>
      </c>
      <c r="E795" s="6" t="str" cm="1">
        <f t="array" ref="E795">_xlfn.IFS(D795&lt;=5,"Newcomer",AND(D795&gt;=6,D795&lt;=10),"Proficient",D795&gt;10,"Expert")</f>
        <v>Expert</v>
      </c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 t="str" cm="1">
        <f t="array" ref="M795">_xlfn.IFS(L795="Retirement","Voluntary",L795="Resignation","Voluntary",L795="Layoff","InVoluntary")</f>
        <v>InVoluntary</v>
      </c>
      <c r="N795" s="4" t="s">
        <v>26</v>
      </c>
      <c r="O795" s="41"/>
      <c r="P795">
        <v>1</v>
      </c>
      <c r="Q795" t="s">
        <v>174</v>
      </c>
    </row>
    <row r="796" spans="1:17" x14ac:dyDescent="0.35">
      <c r="A796" s="4">
        <v>4548</v>
      </c>
      <c r="B796" s="5">
        <v>38169</v>
      </c>
      <c r="C796" s="5">
        <v>43894</v>
      </c>
      <c r="D796" s="4">
        <v>16</v>
      </c>
      <c r="E796" s="6" t="str" cm="1">
        <f t="array" ref="E796">_xlfn.IFS(D796&lt;=5,"Newcomer",AND(D796&gt;=6,D796&lt;=10),"Proficient",D796&gt;10,"Expert")</f>
        <v>Expert</v>
      </c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 t="str" cm="1">
        <f t="array" ref="M796">_xlfn.IFS(L796="Retirement","Voluntary",L796="Resignation","Voluntary",L796="Layoff","InVoluntary")</f>
        <v>InVoluntary</v>
      </c>
      <c r="N796" s="4" t="s">
        <v>26</v>
      </c>
      <c r="O796" s="41"/>
      <c r="P796">
        <v>1</v>
      </c>
      <c r="Q796" t="s">
        <v>174</v>
      </c>
    </row>
    <row r="797" spans="1:17" x14ac:dyDescent="0.35">
      <c r="A797" s="4">
        <v>4549</v>
      </c>
      <c r="B797" s="5">
        <v>32972</v>
      </c>
      <c r="C797" s="5">
        <v>43982</v>
      </c>
      <c r="D797" s="4">
        <v>30</v>
      </c>
      <c r="E797" s="6" t="str" cm="1">
        <f t="array" ref="E797">_xlfn.IFS(D797&lt;=5,"Newcomer",AND(D797&gt;=6,D797&lt;=10),"Proficient",D797&gt;10,"Expert")</f>
        <v>Expert</v>
      </c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 t="str" cm="1">
        <f t="array" ref="M797">_xlfn.IFS(L797="Retirement","Voluntary",L797="Resignation","Voluntary",L797="Layoff","InVoluntary")</f>
        <v>InVoluntary</v>
      </c>
      <c r="N797" s="4" t="s">
        <v>26</v>
      </c>
      <c r="O797" s="41"/>
      <c r="P797">
        <v>1</v>
      </c>
      <c r="Q797" t="s">
        <v>174</v>
      </c>
    </row>
    <row r="798" spans="1:17" x14ac:dyDescent="0.35">
      <c r="A798" s="4">
        <v>4550</v>
      </c>
      <c r="B798" s="5">
        <v>42344</v>
      </c>
      <c r="C798" s="5">
        <v>43849</v>
      </c>
      <c r="D798" s="4">
        <v>5</v>
      </c>
      <c r="E798" s="6" t="str" cm="1">
        <f t="array" ref="E798">_xlfn.IFS(D798&lt;=5,"Newcomer",AND(D798&gt;=6,D798&lt;=10),"Proficient",D798&gt;10,"Expert")</f>
        <v>Newcomer</v>
      </c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 t="str" cm="1">
        <f t="array" ref="M798">_xlfn.IFS(L798="Retirement","Voluntary",L798="Resignation","Voluntary",L798="Layoff","InVoluntary")</f>
        <v>InVoluntary</v>
      </c>
      <c r="N798" s="4" t="s">
        <v>26</v>
      </c>
      <c r="O798" s="41"/>
      <c r="P798">
        <v>1</v>
      </c>
      <c r="Q798" t="s">
        <v>174</v>
      </c>
    </row>
    <row r="799" spans="1:17" x14ac:dyDescent="0.35">
      <c r="A799" s="4">
        <v>4555</v>
      </c>
      <c r="B799" s="5">
        <v>41542</v>
      </c>
      <c r="C799" s="5">
        <v>43906</v>
      </c>
      <c r="D799" s="4">
        <v>7</v>
      </c>
      <c r="E799" s="6" t="str" cm="1">
        <f t="array" ref="E799">_xlfn.IFS(D799&lt;=5,"Newcomer",AND(D799&gt;=6,D799&lt;=10),"Proficient",D799&gt;10,"Expert")</f>
        <v>Proficient</v>
      </c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 t="str" cm="1">
        <f t="array" ref="M799">_xlfn.IFS(L799="Retirement","Voluntary",L799="Resignation","Voluntary",L799="Layoff","InVoluntary")</f>
        <v>InVoluntary</v>
      </c>
      <c r="N799" s="4" t="s">
        <v>26</v>
      </c>
      <c r="O799" s="41"/>
      <c r="P799">
        <v>1</v>
      </c>
      <c r="Q799" t="s">
        <v>174</v>
      </c>
    </row>
    <row r="800" spans="1:17" x14ac:dyDescent="0.35">
      <c r="A800" s="4">
        <v>4557</v>
      </c>
      <c r="B800" s="5">
        <v>35485</v>
      </c>
      <c r="C800" s="5">
        <v>43846</v>
      </c>
      <c r="D800" s="4">
        <v>23</v>
      </c>
      <c r="E800" s="6" t="str" cm="1">
        <f t="array" ref="E800">_xlfn.IFS(D800&lt;=5,"Newcomer",AND(D800&gt;=6,D800&lt;=10),"Proficient",D800&gt;10,"Expert")</f>
        <v>Expert</v>
      </c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 t="str" cm="1">
        <f t="array" ref="M800">_xlfn.IFS(L800="Retirement","Voluntary",L800="Resignation","Voluntary",L800="Layoff","InVoluntary")</f>
        <v>InVoluntary</v>
      </c>
      <c r="N800" s="4" t="s">
        <v>26</v>
      </c>
      <c r="O800" s="41"/>
      <c r="P800">
        <v>1</v>
      </c>
      <c r="Q800" t="s">
        <v>174</v>
      </c>
    </row>
    <row r="801" spans="1:17" x14ac:dyDescent="0.35">
      <c r="A801" s="4">
        <v>4558</v>
      </c>
      <c r="B801" s="5">
        <v>41627</v>
      </c>
      <c r="C801" s="5">
        <v>44038</v>
      </c>
      <c r="D801" s="4">
        <v>7</v>
      </c>
      <c r="E801" s="6" t="str" cm="1">
        <f t="array" ref="E801">_xlfn.IFS(D801&lt;=5,"Newcomer",AND(D801&gt;=6,D801&lt;=10),"Proficient",D801&gt;10,"Expert")</f>
        <v>Proficient</v>
      </c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 t="str" cm="1">
        <f t="array" ref="M801">_xlfn.IFS(L801="Retirement","Voluntary",L801="Resignation","Voluntary",L801="Layoff","InVoluntary")</f>
        <v>InVoluntary</v>
      </c>
      <c r="N801" s="4" t="s">
        <v>26</v>
      </c>
      <c r="O801" s="41"/>
      <c r="P801">
        <v>1</v>
      </c>
      <c r="Q801" t="s">
        <v>174</v>
      </c>
    </row>
    <row r="802" spans="1:17" x14ac:dyDescent="0.35">
      <c r="A802" s="4">
        <v>4559</v>
      </c>
      <c r="B802" s="5">
        <v>40675</v>
      </c>
      <c r="C802" s="5">
        <v>43911</v>
      </c>
      <c r="D802" s="4">
        <v>9</v>
      </c>
      <c r="E802" s="6" t="str" cm="1">
        <f t="array" ref="E802">_xlfn.IFS(D802&lt;=5,"Newcomer",AND(D802&gt;=6,D802&lt;=10),"Proficient",D802&gt;10,"Expert")</f>
        <v>Proficient</v>
      </c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 t="str" cm="1">
        <f t="array" ref="M802">_xlfn.IFS(L802="Retirement","Voluntary",L802="Resignation","Voluntary",L802="Layoff","InVoluntary")</f>
        <v>InVoluntary</v>
      </c>
      <c r="N802" s="4" t="s">
        <v>26</v>
      </c>
      <c r="O802" s="41"/>
      <c r="P802">
        <v>1</v>
      </c>
      <c r="Q802" t="s">
        <v>174</v>
      </c>
    </row>
    <row r="803" spans="1:17" x14ac:dyDescent="0.35">
      <c r="A803" s="4">
        <v>4560</v>
      </c>
      <c r="B803" s="5">
        <v>33858</v>
      </c>
      <c r="C803" s="5">
        <v>44049</v>
      </c>
      <c r="D803" s="4">
        <v>28</v>
      </c>
      <c r="E803" s="6" t="str" cm="1">
        <f t="array" ref="E803">_xlfn.IFS(D803&lt;=5,"Newcomer",AND(D803&gt;=6,D803&lt;=10),"Proficient",D803&gt;10,"Expert")</f>
        <v>Expert</v>
      </c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 t="str" cm="1">
        <f t="array" ref="M803">_xlfn.IFS(L803="Retirement","Voluntary",L803="Resignation","Voluntary",L803="Layoff","InVoluntary")</f>
        <v>InVoluntary</v>
      </c>
      <c r="N803" s="4" t="s">
        <v>26</v>
      </c>
      <c r="O803" s="41"/>
      <c r="P803">
        <v>1</v>
      </c>
      <c r="Q803" t="s">
        <v>174</v>
      </c>
    </row>
    <row r="804" spans="1:17" x14ac:dyDescent="0.35">
      <c r="A804" s="4">
        <v>4565</v>
      </c>
      <c r="B804" s="5">
        <v>40484</v>
      </c>
      <c r="C804" s="5">
        <v>44158</v>
      </c>
      <c r="D804" s="4">
        <v>10</v>
      </c>
      <c r="E804" s="6" t="str" cm="1">
        <f t="array" ref="E804">_xlfn.IFS(D804&lt;=5,"Newcomer",AND(D804&gt;=6,D804&lt;=10),"Proficient",D804&gt;10,"Expert")</f>
        <v>Proficient</v>
      </c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 t="str" cm="1">
        <f t="array" ref="M804">_xlfn.IFS(L804="Retirement","Voluntary",L804="Resignation","Voluntary",L804="Layoff","InVoluntary")</f>
        <v>InVoluntary</v>
      </c>
      <c r="N804" s="4" t="s">
        <v>26</v>
      </c>
      <c r="O804" s="41"/>
      <c r="P804">
        <v>1</v>
      </c>
      <c r="Q804" t="s">
        <v>174</v>
      </c>
    </row>
    <row r="805" spans="1:17" x14ac:dyDescent="0.35">
      <c r="A805" s="4">
        <v>4566</v>
      </c>
      <c r="B805" s="5">
        <v>39065</v>
      </c>
      <c r="C805" s="5">
        <v>43959</v>
      </c>
      <c r="D805" s="4">
        <v>14</v>
      </c>
      <c r="E805" s="6" t="str" cm="1">
        <f t="array" ref="E805">_xlfn.IFS(D805&lt;=5,"Newcomer",AND(D805&gt;=6,D805&lt;=10),"Proficient",D805&gt;10,"Expert")</f>
        <v>Expert</v>
      </c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 t="str" cm="1">
        <f t="array" ref="M805">_xlfn.IFS(L805="Retirement","Voluntary",L805="Resignation","Voluntary",L805="Layoff","InVoluntary")</f>
        <v>InVoluntary</v>
      </c>
      <c r="N805" s="4" t="s">
        <v>26</v>
      </c>
      <c r="O805" s="41"/>
      <c r="P805">
        <v>1</v>
      </c>
      <c r="Q805" t="s">
        <v>174</v>
      </c>
    </row>
    <row r="806" spans="1:17" x14ac:dyDescent="0.35">
      <c r="A806" s="4">
        <v>4567</v>
      </c>
      <c r="B806" s="5">
        <v>34786</v>
      </c>
      <c r="C806" s="5">
        <v>44182</v>
      </c>
      <c r="D806" s="4">
        <v>25</v>
      </c>
      <c r="E806" s="6" t="str" cm="1">
        <f t="array" ref="E806">_xlfn.IFS(D806&lt;=5,"Newcomer",AND(D806&gt;=6,D806&lt;=10),"Proficient",D806&gt;10,"Expert")</f>
        <v>Expert</v>
      </c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 t="str" cm="1">
        <f t="array" ref="M806">_xlfn.IFS(L806="Retirement","Voluntary",L806="Resignation","Voluntary",L806="Layoff","InVoluntary")</f>
        <v>InVoluntary</v>
      </c>
      <c r="N806" s="4" t="s">
        <v>26</v>
      </c>
      <c r="O806" s="41"/>
      <c r="P806">
        <v>1</v>
      </c>
      <c r="Q806" t="s">
        <v>174</v>
      </c>
    </row>
    <row r="807" spans="1:17" x14ac:dyDescent="0.35">
      <c r="A807" s="4">
        <v>4570</v>
      </c>
      <c r="B807" s="5">
        <v>38290</v>
      </c>
      <c r="C807" s="5">
        <v>43979</v>
      </c>
      <c r="D807" s="4">
        <v>16</v>
      </c>
      <c r="E807" s="6" t="str" cm="1">
        <f t="array" ref="E807">_xlfn.IFS(D807&lt;=5,"Newcomer",AND(D807&gt;=6,D807&lt;=10),"Proficient",D807&gt;10,"Expert")</f>
        <v>Expert</v>
      </c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 t="str" cm="1">
        <f t="array" ref="M807">_xlfn.IFS(L807="Retirement","Voluntary",L807="Resignation","Voluntary",L807="Layoff","InVoluntary")</f>
        <v>InVoluntary</v>
      </c>
      <c r="N807" s="4" t="s">
        <v>26</v>
      </c>
      <c r="O807" s="41"/>
      <c r="P807">
        <v>1</v>
      </c>
      <c r="Q807" t="s">
        <v>174</v>
      </c>
    </row>
    <row r="808" spans="1:17" x14ac:dyDescent="0.35">
      <c r="A808" s="4">
        <v>4574</v>
      </c>
      <c r="B808" s="5">
        <v>39052</v>
      </c>
      <c r="C808" s="5">
        <v>43890</v>
      </c>
      <c r="D808" s="4">
        <v>14</v>
      </c>
      <c r="E808" s="6" t="str" cm="1">
        <f t="array" ref="E808">_xlfn.IFS(D808&lt;=5,"Newcomer",AND(D808&gt;=6,D808&lt;=10),"Proficient",D808&gt;10,"Expert")</f>
        <v>Expert</v>
      </c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 t="str" cm="1">
        <f t="array" ref="M808">_xlfn.IFS(L808="Retirement","Voluntary",L808="Resignation","Voluntary",L808="Layoff","InVoluntary")</f>
        <v>InVoluntary</v>
      </c>
      <c r="N808" s="4" t="s">
        <v>26</v>
      </c>
      <c r="O808" s="41"/>
      <c r="P808">
        <v>1</v>
      </c>
      <c r="Q808" t="s">
        <v>174</v>
      </c>
    </row>
    <row r="809" spans="1:17" x14ac:dyDescent="0.35">
      <c r="A809" s="4">
        <v>4577</v>
      </c>
      <c r="B809" s="5">
        <v>39428</v>
      </c>
      <c r="C809" s="5">
        <v>44156</v>
      </c>
      <c r="D809" s="4">
        <v>13</v>
      </c>
      <c r="E809" s="6" t="str" cm="1">
        <f t="array" ref="E809">_xlfn.IFS(D809&lt;=5,"Newcomer",AND(D809&gt;=6,D809&lt;=10),"Proficient",D809&gt;10,"Expert")</f>
        <v>Expert</v>
      </c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 t="str" cm="1">
        <f t="array" ref="M809">_xlfn.IFS(L809="Retirement","Voluntary",L809="Resignation","Voluntary",L809="Layoff","InVoluntary")</f>
        <v>InVoluntary</v>
      </c>
      <c r="N809" s="4" t="s">
        <v>26</v>
      </c>
      <c r="O809" s="41"/>
      <c r="P809">
        <v>1</v>
      </c>
      <c r="Q809" t="s">
        <v>174</v>
      </c>
    </row>
    <row r="810" spans="1:17" x14ac:dyDescent="0.35">
      <c r="A810" s="4">
        <v>4580</v>
      </c>
      <c r="B810" s="5">
        <v>41188</v>
      </c>
      <c r="C810" s="5">
        <v>43900</v>
      </c>
      <c r="D810" s="4">
        <v>8</v>
      </c>
      <c r="E810" s="6" t="str" cm="1">
        <f t="array" ref="E810">_xlfn.IFS(D810&lt;=5,"Newcomer",AND(D810&gt;=6,D810&lt;=10),"Proficient",D810&gt;10,"Expert")</f>
        <v>Proficient</v>
      </c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 t="str" cm="1">
        <f t="array" ref="M810">_xlfn.IFS(L810="Retirement","Voluntary",L810="Resignation","Voluntary",L810="Layoff","InVoluntary")</f>
        <v>InVoluntary</v>
      </c>
      <c r="N810" s="4" t="s">
        <v>26</v>
      </c>
      <c r="O810" s="41"/>
      <c r="P810">
        <v>1</v>
      </c>
      <c r="Q810" t="s">
        <v>174</v>
      </c>
    </row>
    <row r="811" spans="1:17" x14ac:dyDescent="0.35">
      <c r="A811" s="4">
        <v>4588</v>
      </c>
      <c r="B811" s="5">
        <v>38651</v>
      </c>
      <c r="C811" s="5">
        <v>44065</v>
      </c>
      <c r="D811" s="4">
        <v>15</v>
      </c>
      <c r="E811" s="6" t="str" cm="1">
        <f t="array" ref="E811">_xlfn.IFS(D811&lt;=5,"Newcomer",AND(D811&gt;=6,D811&lt;=10),"Proficient",D811&gt;10,"Expert")</f>
        <v>Expert</v>
      </c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 t="str" cm="1">
        <f t="array" ref="M811">_xlfn.IFS(L811="Retirement","Voluntary",L811="Resignation","Voluntary",L811="Layoff","InVoluntary")</f>
        <v>InVoluntary</v>
      </c>
      <c r="N811" s="4" t="s">
        <v>26</v>
      </c>
      <c r="O811" s="41"/>
      <c r="P811">
        <v>1</v>
      </c>
      <c r="Q811" t="s">
        <v>174</v>
      </c>
    </row>
    <row r="812" spans="1:17" x14ac:dyDescent="0.35">
      <c r="A812" s="4">
        <v>4589</v>
      </c>
      <c r="B812" s="5">
        <v>33700</v>
      </c>
      <c r="C812" s="5">
        <v>44048</v>
      </c>
      <c r="D812" s="4">
        <v>28</v>
      </c>
      <c r="E812" s="6" t="str" cm="1">
        <f t="array" ref="E812">_xlfn.IFS(D812&lt;=5,"Newcomer",AND(D812&gt;=6,D812&lt;=10),"Proficient",D812&gt;10,"Expert")</f>
        <v>Expert</v>
      </c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 t="str" cm="1">
        <f t="array" ref="M812">_xlfn.IFS(L812="Retirement","Voluntary",L812="Resignation","Voluntary",L812="Layoff","InVoluntary")</f>
        <v>InVoluntary</v>
      </c>
      <c r="N812" s="4" t="s">
        <v>26</v>
      </c>
      <c r="O812" s="41"/>
      <c r="P812">
        <v>1</v>
      </c>
      <c r="Q812" t="s">
        <v>174</v>
      </c>
    </row>
    <row r="813" spans="1:17" x14ac:dyDescent="0.35">
      <c r="A813" s="4">
        <v>4592</v>
      </c>
      <c r="B813" s="5">
        <v>37017</v>
      </c>
      <c r="C813" s="5">
        <v>44185</v>
      </c>
      <c r="D813" s="4">
        <v>19</v>
      </c>
      <c r="E813" s="6" t="str" cm="1">
        <f t="array" ref="E813">_xlfn.IFS(D813&lt;=5,"Newcomer",AND(D813&gt;=6,D813&lt;=10),"Proficient",D813&gt;10,"Expert")</f>
        <v>Expert</v>
      </c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 t="str" cm="1">
        <f t="array" ref="M813">_xlfn.IFS(L813="Retirement","Voluntary",L813="Resignation","Voluntary",L813="Layoff","InVoluntary")</f>
        <v>InVoluntary</v>
      </c>
      <c r="N813" s="4" t="s">
        <v>26</v>
      </c>
      <c r="O813" s="41"/>
      <c r="P813">
        <v>1</v>
      </c>
      <c r="Q813" t="s">
        <v>174</v>
      </c>
    </row>
    <row r="814" spans="1:17" x14ac:dyDescent="0.35">
      <c r="A814" s="4">
        <v>4598</v>
      </c>
      <c r="B814" s="5">
        <v>39824</v>
      </c>
      <c r="C814" s="5">
        <v>43831</v>
      </c>
      <c r="D814" s="4">
        <v>11</v>
      </c>
      <c r="E814" s="6" t="str" cm="1">
        <f t="array" ref="E814">_xlfn.IFS(D814&lt;=5,"Newcomer",AND(D814&gt;=6,D814&lt;=10),"Proficient",D814&gt;10,"Expert")</f>
        <v>Expert</v>
      </c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 t="str" cm="1">
        <f t="array" ref="M814">_xlfn.IFS(L814="Retirement","Voluntary",L814="Resignation","Voluntary",L814="Layoff","InVoluntary")</f>
        <v>InVoluntary</v>
      </c>
      <c r="N814" s="4" t="s">
        <v>26</v>
      </c>
      <c r="O814" s="41"/>
      <c r="P814">
        <v>1</v>
      </c>
      <c r="Q814" t="s">
        <v>174</v>
      </c>
    </row>
    <row r="815" spans="1:17" x14ac:dyDescent="0.35">
      <c r="A815" s="4">
        <v>4599</v>
      </c>
      <c r="B815" s="5">
        <v>37293</v>
      </c>
      <c r="C815" s="5">
        <v>43875</v>
      </c>
      <c r="D815" s="4">
        <v>18</v>
      </c>
      <c r="E815" s="6" t="str" cm="1">
        <f t="array" ref="E815">_xlfn.IFS(D815&lt;=5,"Newcomer",AND(D815&gt;=6,D815&lt;=10),"Proficient",D815&gt;10,"Expert")</f>
        <v>Expert</v>
      </c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 t="str" cm="1">
        <f t="array" ref="M815">_xlfn.IFS(L815="Retirement","Voluntary",L815="Resignation","Voluntary",L815="Layoff","InVoluntary")</f>
        <v>InVoluntary</v>
      </c>
      <c r="N815" s="4" t="s">
        <v>26</v>
      </c>
      <c r="O815" s="41"/>
      <c r="P815">
        <v>1</v>
      </c>
      <c r="Q815" t="s">
        <v>174</v>
      </c>
    </row>
    <row r="816" spans="1:17" x14ac:dyDescent="0.35">
      <c r="A816" s="4">
        <v>4602</v>
      </c>
      <c r="B816" s="5">
        <v>41916</v>
      </c>
      <c r="C816" s="5">
        <v>44035</v>
      </c>
      <c r="D816" s="4">
        <v>6</v>
      </c>
      <c r="E816" s="6" t="str" cm="1">
        <f t="array" ref="E816">_xlfn.IFS(D816&lt;=5,"Newcomer",AND(D816&gt;=6,D816&lt;=10),"Proficient",D816&gt;10,"Expert")</f>
        <v>Proficient</v>
      </c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 t="str" cm="1">
        <f t="array" ref="M816">_xlfn.IFS(L816="Retirement","Voluntary",L816="Resignation","Voluntary",L816="Layoff","InVoluntary")</f>
        <v>InVoluntary</v>
      </c>
      <c r="N816" s="4" t="s">
        <v>26</v>
      </c>
      <c r="O816" s="41"/>
      <c r="P816">
        <v>1</v>
      </c>
      <c r="Q816" t="s">
        <v>174</v>
      </c>
    </row>
    <row r="817" spans="1:17" x14ac:dyDescent="0.35">
      <c r="A817" s="4">
        <v>4604</v>
      </c>
      <c r="B817" s="5">
        <v>35676</v>
      </c>
      <c r="C817" s="5">
        <v>43950</v>
      </c>
      <c r="D817" s="4">
        <v>23</v>
      </c>
      <c r="E817" s="6" t="str" cm="1">
        <f t="array" ref="E817">_xlfn.IFS(D817&lt;=5,"Newcomer",AND(D817&gt;=6,D817&lt;=10),"Proficient",D817&gt;10,"Expert")</f>
        <v>Expert</v>
      </c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 t="str" cm="1">
        <f t="array" ref="M817">_xlfn.IFS(L817="Retirement","Voluntary",L817="Resignation","Voluntary",L817="Layoff","InVoluntary")</f>
        <v>InVoluntary</v>
      </c>
      <c r="N817" s="4" t="s">
        <v>26</v>
      </c>
      <c r="O817" s="41"/>
      <c r="P817">
        <v>1</v>
      </c>
      <c r="Q817" t="s">
        <v>174</v>
      </c>
    </row>
    <row r="818" spans="1:17" x14ac:dyDescent="0.35">
      <c r="A818" s="4">
        <v>4605</v>
      </c>
      <c r="B818" s="5">
        <v>34329</v>
      </c>
      <c r="C818" s="5">
        <v>43955</v>
      </c>
      <c r="D818" s="4">
        <v>27</v>
      </c>
      <c r="E818" s="6" t="str" cm="1">
        <f t="array" ref="E818">_xlfn.IFS(D818&lt;=5,"Newcomer",AND(D818&gt;=6,D818&lt;=10),"Proficient",D818&gt;10,"Expert")</f>
        <v>Expert</v>
      </c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 t="str" cm="1">
        <f t="array" ref="M818">_xlfn.IFS(L818="Retirement","Voluntary",L818="Resignation","Voluntary",L818="Layoff","InVoluntary")</f>
        <v>InVoluntary</v>
      </c>
      <c r="N818" s="4" t="s">
        <v>26</v>
      </c>
      <c r="O818" s="41"/>
      <c r="P818">
        <v>1</v>
      </c>
      <c r="Q818" t="s">
        <v>174</v>
      </c>
    </row>
    <row r="819" spans="1:17" x14ac:dyDescent="0.35">
      <c r="A819" s="4">
        <v>4606</v>
      </c>
      <c r="B819" s="5">
        <v>38932</v>
      </c>
      <c r="C819" s="5">
        <v>44154</v>
      </c>
      <c r="D819" s="4">
        <v>14</v>
      </c>
      <c r="E819" s="6" t="str" cm="1">
        <f t="array" ref="E819">_xlfn.IFS(D819&lt;=5,"Newcomer",AND(D819&gt;=6,D819&lt;=10),"Proficient",D819&gt;10,"Expert")</f>
        <v>Expert</v>
      </c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 t="str" cm="1">
        <f t="array" ref="M819">_xlfn.IFS(L819="Retirement","Voluntary",L819="Resignation","Voluntary",L819="Layoff","InVoluntary")</f>
        <v>InVoluntary</v>
      </c>
      <c r="N819" s="4" t="s">
        <v>26</v>
      </c>
      <c r="O819" s="41"/>
      <c r="P819">
        <v>1</v>
      </c>
      <c r="Q819" t="s">
        <v>174</v>
      </c>
    </row>
    <row r="820" spans="1:17" x14ac:dyDescent="0.35">
      <c r="A820" s="4">
        <v>4608</v>
      </c>
      <c r="B820" s="5">
        <v>34199</v>
      </c>
      <c r="C820" s="5">
        <v>44036</v>
      </c>
      <c r="D820" s="4">
        <v>27</v>
      </c>
      <c r="E820" s="6" t="str" cm="1">
        <f t="array" ref="E820">_xlfn.IFS(D820&lt;=5,"Newcomer",AND(D820&gt;=6,D820&lt;=10),"Proficient",D820&gt;10,"Expert")</f>
        <v>Expert</v>
      </c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 t="str" cm="1">
        <f t="array" ref="M820">_xlfn.IFS(L820="Retirement","Voluntary",L820="Resignation","Voluntary",L820="Layoff","InVoluntary")</f>
        <v>InVoluntary</v>
      </c>
      <c r="N820" s="4" t="s">
        <v>26</v>
      </c>
      <c r="O820" s="41"/>
      <c r="P820">
        <v>1</v>
      </c>
      <c r="Q820" t="s">
        <v>174</v>
      </c>
    </row>
    <row r="821" spans="1:17" x14ac:dyDescent="0.35">
      <c r="A821" s="4">
        <v>4611</v>
      </c>
      <c r="B821" s="5">
        <v>36319</v>
      </c>
      <c r="C821" s="5">
        <v>43867</v>
      </c>
      <c r="D821" s="4">
        <v>21</v>
      </c>
      <c r="E821" s="6" t="str" cm="1">
        <f t="array" ref="E821">_xlfn.IFS(D821&lt;=5,"Newcomer",AND(D821&gt;=6,D821&lt;=10),"Proficient",D821&gt;10,"Expert")</f>
        <v>Expert</v>
      </c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 t="str" cm="1">
        <f t="array" ref="M821">_xlfn.IFS(L821="Retirement","Voluntary",L821="Resignation","Voluntary",L821="Layoff","InVoluntary")</f>
        <v>InVoluntary</v>
      </c>
      <c r="N821" s="4" t="s">
        <v>26</v>
      </c>
      <c r="O821" s="41"/>
      <c r="P821">
        <v>1</v>
      </c>
      <c r="Q821" t="s">
        <v>174</v>
      </c>
    </row>
    <row r="822" spans="1:17" x14ac:dyDescent="0.35">
      <c r="A822" s="4">
        <v>4613</v>
      </c>
      <c r="B822" s="5">
        <v>36448</v>
      </c>
      <c r="C822" s="5">
        <v>44148</v>
      </c>
      <c r="D822" s="4">
        <v>21</v>
      </c>
      <c r="E822" s="6" t="str" cm="1">
        <f t="array" ref="E822">_xlfn.IFS(D822&lt;=5,"Newcomer",AND(D822&gt;=6,D822&lt;=10),"Proficient",D822&gt;10,"Expert")</f>
        <v>Expert</v>
      </c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 t="str" cm="1">
        <f t="array" ref="M822">_xlfn.IFS(L822="Retirement","Voluntary",L822="Resignation","Voluntary",L822="Layoff","InVoluntary")</f>
        <v>InVoluntary</v>
      </c>
      <c r="N822" s="4" t="s">
        <v>26</v>
      </c>
      <c r="O822" s="41"/>
      <c r="P822">
        <v>1</v>
      </c>
      <c r="Q822" t="s">
        <v>174</v>
      </c>
    </row>
    <row r="823" spans="1:17" x14ac:dyDescent="0.35">
      <c r="A823" s="4">
        <v>4614</v>
      </c>
      <c r="B823" s="5">
        <v>38314</v>
      </c>
      <c r="C823" s="5">
        <v>44113</v>
      </c>
      <c r="D823" s="4">
        <v>16</v>
      </c>
      <c r="E823" s="6" t="str" cm="1">
        <f t="array" ref="E823">_xlfn.IFS(D823&lt;=5,"Newcomer",AND(D823&gt;=6,D823&lt;=10),"Proficient",D823&gt;10,"Expert")</f>
        <v>Expert</v>
      </c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 t="str" cm="1">
        <f t="array" ref="M823">_xlfn.IFS(L823="Retirement","Voluntary",L823="Resignation","Voluntary",L823="Layoff","InVoluntary")</f>
        <v>InVoluntary</v>
      </c>
      <c r="N823" s="4" t="s">
        <v>26</v>
      </c>
      <c r="O823" s="41"/>
      <c r="P823">
        <v>1</v>
      </c>
      <c r="Q823" t="s">
        <v>174</v>
      </c>
    </row>
    <row r="824" spans="1:17" x14ac:dyDescent="0.35">
      <c r="A824" s="4">
        <v>4615</v>
      </c>
      <c r="B824" s="5">
        <v>42247</v>
      </c>
      <c r="C824" s="5">
        <v>44185</v>
      </c>
      <c r="D824" s="4">
        <v>5</v>
      </c>
      <c r="E824" s="6" t="str" cm="1">
        <f t="array" ref="E824">_xlfn.IFS(D824&lt;=5,"Newcomer",AND(D824&gt;=6,D824&lt;=10),"Proficient",D824&gt;10,"Expert")</f>
        <v>Newcomer</v>
      </c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 t="str" cm="1">
        <f t="array" ref="M824">_xlfn.IFS(L824="Retirement","Voluntary",L824="Resignation","Voluntary",L824="Layoff","InVoluntary")</f>
        <v>InVoluntary</v>
      </c>
      <c r="N824" s="4" t="s">
        <v>26</v>
      </c>
      <c r="O824" s="41"/>
      <c r="P824">
        <v>1</v>
      </c>
      <c r="Q824" t="s">
        <v>174</v>
      </c>
    </row>
    <row r="825" spans="1:17" x14ac:dyDescent="0.35">
      <c r="A825" s="4">
        <v>4617</v>
      </c>
      <c r="B825" s="5">
        <v>35820</v>
      </c>
      <c r="C825" s="5">
        <v>43915</v>
      </c>
      <c r="D825" s="4">
        <v>22</v>
      </c>
      <c r="E825" s="6" t="str" cm="1">
        <f t="array" ref="E825">_xlfn.IFS(D825&lt;=5,"Newcomer",AND(D825&gt;=6,D825&lt;=10),"Proficient",D825&gt;10,"Expert")</f>
        <v>Expert</v>
      </c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 t="str" cm="1">
        <f t="array" ref="M825">_xlfn.IFS(L825="Retirement","Voluntary",L825="Resignation","Voluntary",L825="Layoff","InVoluntary")</f>
        <v>InVoluntary</v>
      </c>
      <c r="N825" s="4" t="s">
        <v>26</v>
      </c>
      <c r="O825" s="41"/>
      <c r="P825">
        <v>1</v>
      </c>
      <c r="Q825" t="s">
        <v>174</v>
      </c>
    </row>
    <row r="826" spans="1:17" x14ac:dyDescent="0.35">
      <c r="A826" s="4">
        <v>4619</v>
      </c>
      <c r="B826" s="5">
        <v>33156</v>
      </c>
      <c r="C826" s="5">
        <v>44032</v>
      </c>
      <c r="D826" s="4">
        <v>30</v>
      </c>
      <c r="E826" s="6" t="str" cm="1">
        <f t="array" ref="E826">_xlfn.IFS(D826&lt;=5,"Newcomer",AND(D826&gt;=6,D826&lt;=10),"Proficient",D826&gt;10,"Expert")</f>
        <v>Expert</v>
      </c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 t="str" cm="1">
        <f t="array" ref="M826">_xlfn.IFS(L826="Retirement","Voluntary",L826="Resignation","Voluntary",L826="Layoff","InVoluntary")</f>
        <v>InVoluntary</v>
      </c>
      <c r="N826" s="4" t="s">
        <v>26</v>
      </c>
      <c r="O826" s="41"/>
      <c r="P826">
        <v>1</v>
      </c>
      <c r="Q826" t="s">
        <v>174</v>
      </c>
    </row>
    <row r="827" spans="1:17" x14ac:dyDescent="0.35">
      <c r="A827" s="4">
        <v>4621</v>
      </c>
      <c r="B827" s="5">
        <v>42301</v>
      </c>
      <c r="C827" s="5">
        <v>44160</v>
      </c>
      <c r="D827" s="4">
        <v>5</v>
      </c>
      <c r="E827" s="6" t="str" cm="1">
        <f t="array" ref="E827">_xlfn.IFS(D827&lt;=5,"Newcomer",AND(D827&gt;=6,D827&lt;=10),"Proficient",D827&gt;10,"Expert")</f>
        <v>Newcomer</v>
      </c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 t="str" cm="1">
        <f t="array" ref="M827">_xlfn.IFS(L827="Retirement","Voluntary",L827="Resignation","Voluntary",L827="Layoff","InVoluntary")</f>
        <v>InVoluntary</v>
      </c>
      <c r="N827" s="4" t="s">
        <v>26</v>
      </c>
      <c r="O827" s="41"/>
      <c r="P827">
        <v>1</v>
      </c>
      <c r="Q827" t="s">
        <v>174</v>
      </c>
    </row>
    <row r="828" spans="1:17" x14ac:dyDescent="0.35">
      <c r="A828" s="4">
        <v>4628</v>
      </c>
      <c r="B828" s="5">
        <v>35563</v>
      </c>
      <c r="C828" s="5">
        <v>44192</v>
      </c>
      <c r="D828" s="4">
        <v>23</v>
      </c>
      <c r="E828" s="6" t="str" cm="1">
        <f t="array" ref="E828">_xlfn.IFS(D828&lt;=5,"Newcomer",AND(D828&gt;=6,D828&lt;=10),"Proficient",D828&gt;10,"Expert")</f>
        <v>Expert</v>
      </c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 t="str" cm="1">
        <f t="array" ref="M828">_xlfn.IFS(L828="Retirement","Voluntary",L828="Resignation","Voluntary",L828="Layoff","InVoluntary")</f>
        <v>InVoluntary</v>
      </c>
      <c r="N828" s="4" t="s">
        <v>26</v>
      </c>
      <c r="O828" s="41"/>
      <c r="P828">
        <v>1</v>
      </c>
      <c r="Q828" t="s">
        <v>174</v>
      </c>
    </row>
    <row r="829" spans="1:17" x14ac:dyDescent="0.35">
      <c r="A829" s="4">
        <v>4632</v>
      </c>
      <c r="B829" s="5">
        <v>32882</v>
      </c>
      <c r="C829" s="5">
        <v>43986</v>
      </c>
      <c r="D829" s="4">
        <v>30</v>
      </c>
      <c r="E829" s="6" t="str" cm="1">
        <f t="array" ref="E829">_xlfn.IFS(D829&lt;=5,"Newcomer",AND(D829&gt;=6,D829&lt;=10),"Proficient",D829&gt;10,"Expert")</f>
        <v>Expert</v>
      </c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 t="str" cm="1">
        <f t="array" ref="M829">_xlfn.IFS(L829="Retirement","Voluntary",L829="Resignation","Voluntary",L829="Layoff","InVoluntary")</f>
        <v>InVoluntary</v>
      </c>
      <c r="N829" s="4" t="s">
        <v>26</v>
      </c>
      <c r="O829" s="41"/>
      <c r="P829">
        <v>1</v>
      </c>
      <c r="Q829" t="s">
        <v>174</v>
      </c>
    </row>
    <row r="830" spans="1:17" x14ac:dyDescent="0.35">
      <c r="A830" s="4">
        <v>4633</v>
      </c>
      <c r="B830" s="5">
        <v>39116</v>
      </c>
      <c r="C830" s="5">
        <v>43870</v>
      </c>
      <c r="D830" s="4">
        <v>13</v>
      </c>
      <c r="E830" s="6" t="str" cm="1">
        <f t="array" ref="E830">_xlfn.IFS(D830&lt;=5,"Newcomer",AND(D830&gt;=6,D830&lt;=10),"Proficient",D830&gt;10,"Expert")</f>
        <v>Expert</v>
      </c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 t="str" cm="1">
        <f t="array" ref="M830">_xlfn.IFS(L830="Retirement","Voluntary",L830="Resignation","Voluntary",L830="Layoff","InVoluntary")</f>
        <v>InVoluntary</v>
      </c>
      <c r="N830" s="4" t="s">
        <v>26</v>
      </c>
      <c r="O830" s="41"/>
      <c r="P830">
        <v>1</v>
      </c>
      <c r="Q830" t="s">
        <v>174</v>
      </c>
    </row>
    <row r="831" spans="1:17" x14ac:dyDescent="0.35">
      <c r="A831" s="4">
        <v>4634</v>
      </c>
      <c r="B831" s="5">
        <v>38193</v>
      </c>
      <c r="C831" s="5">
        <v>43956</v>
      </c>
      <c r="D831" s="4">
        <v>16</v>
      </c>
      <c r="E831" s="6" t="str" cm="1">
        <f t="array" ref="E831">_xlfn.IFS(D831&lt;=5,"Newcomer",AND(D831&gt;=6,D831&lt;=10),"Proficient",D831&gt;10,"Expert")</f>
        <v>Expert</v>
      </c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 t="str" cm="1">
        <f t="array" ref="M831">_xlfn.IFS(L831="Retirement","Voluntary",L831="Resignation","Voluntary",L831="Layoff","InVoluntary")</f>
        <v>InVoluntary</v>
      </c>
      <c r="N831" s="4" t="s">
        <v>26</v>
      </c>
      <c r="O831" s="41"/>
      <c r="P831">
        <v>1</v>
      </c>
      <c r="Q831" t="s">
        <v>174</v>
      </c>
    </row>
    <row r="832" spans="1:17" x14ac:dyDescent="0.35">
      <c r="A832" s="4">
        <v>4635</v>
      </c>
      <c r="B832" s="5">
        <v>34288</v>
      </c>
      <c r="C832" s="5">
        <v>44145</v>
      </c>
      <c r="D832" s="4">
        <v>27</v>
      </c>
      <c r="E832" s="6" t="str" cm="1">
        <f t="array" ref="E832">_xlfn.IFS(D832&lt;=5,"Newcomer",AND(D832&gt;=6,D832&lt;=10),"Proficient",D832&gt;10,"Expert")</f>
        <v>Expert</v>
      </c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 t="str" cm="1">
        <f t="array" ref="M832">_xlfn.IFS(L832="Retirement","Voluntary",L832="Resignation","Voluntary",L832="Layoff","InVoluntary")</f>
        <v>InVoluntary</v>
      </c>
      <c r="N832" s="4" t="s">
        <v>26</v>
      </c>
      <c r="O832" s="41"/>
      <c r="P832">
        <v>1</v>
      </c>
      <c r="Q832" t="s">
        <v>174</v>
      </c>
    </row>
    <row r="833" spans="1:17" x14ac:dyDescent="0.35">
      <c r="A833" s="4">
        <v>4636</v>
      </c>
      <c r="B833" s="5">
        <v>38049</v>
      </c>
      <c r="C833" s="5">
        <v>43998</v>
      </c>
      <c r="D833" s="4">
        <v>16</v>
      </c>
      <c r="E833" s="6" t="str" cm="1">
        <f t="array" ref="E833">_xlfn.IFS(D833&lt;=5,"Newcomer",AND(D833&gt;=6,D833&lt;=10),"Proficient",D833&gt;10,"Expert")</f>
        <v>Expert</v>
      </c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 t="str" cm="1">
        <f t="array" ref="M833">_xlfn.IFS(L833="Retirement","Voluntary",L833="Resignation","Voluntary",L833="Layoff","InVoluntary")</f>
        <v>InVoluntary</v>
      </c>
      <c r="N833" s="4" t="s">
        <v>26</v>
      </c>
      <c r="O833" s="41"/>
      <c r="P833">
        <v>1</v>
      </c>
      <c r="Q833" t="s">
        <v>174</v>
      </c>
    </row>
    <row r="834" spans="1:17" x14ac:dyDescent="0.35">
      <c r="A834" s="4">
        <v>4637</v>
      </c>
      <c r="B834" s="5">
        <v>34439</v>
      </c>
      <c r="C834" s="5">
        <v>44188</v>
      </c>
      <c r="D834" s="4">
        <v>26</v>
      </c>
      <c r="E834" s="6" t="str" cm="1">
        <f t="array" ref="E834">_xlfn.IFS(D834&lt;=5,"Newcomer",AND(D834&gt;=6,D834&lt;=10),"Proficient",D834&gt;10,"Expert")</f>
        <v>Expert</v>
      </c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 t="str" cm="1">
        <f t="array" ref="M834">_xlfn.IFS(L834="Retirement","Voluntary",L834="Resignation","Voluntary",L834="Layoff","InVoluntary")</f>
        <v>InVoluntary</v>
      </c>
      <c r="N834" s="4" t="s">
        <v>26</v>
      </c>
      <c r="O834" s="41"/>
      <c r="P834">
        <v>1</v>
      </c>
      <c r="Q834" t="s">
        <v>174</v>
      </c>
    </row>
    <row r="835" spans="1:17" x14ac:dyDescent="0.35">
      <c r="A835" s="4">
        <v>4641</v>
      </c>
      <c r="B835" s="5">
        <v>35157</v>
      </c>
      <c r="C835" s="5">
        <v>43996</v>
      </c>
      <c r="D835" s="4">
        <v>24</v>
      </c>
      <c r="E835" s="6" t="str" cm="1">
        <f t="array" ref="E835">_xlfn.IFS(D835&lt;=5,"Newcomer",AND(D835&gt;=6,D835&lt;=10),"Proficient",D835&gt;10,"Expert")</f>
        <v>Expert</v>
      </c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 t="str" cm="1">
        <f t="array" ref="M835">_xlfn.IFS(L835="Retirement","Voluntary",L835="Resignation","Voluntary",L835="Layoff","InVoluntary")</f>
        <v>InVoluntary</v>
      </c>
      <c r="N835" s="4" t="s">
        <v>26</v>
      </c>
      <c r="O835" s="41"/>
      <c r="P835">
        <v>1</v>
      </c>
      <c r="Q835" t="s">
        <v>174</v>
      </c>
    </row>
    <row r="836" spans="1:17" x14ac:dyDescent="0.35">
      <c r="A836" s="4">
        <v>4643</v>
      </c>
      <c r="B836" s="5">
        <v>40920</v>
      </c>
      <c r="C836" s="5">
        <v>44103</v>
      </c>
      <c r="D836" s="4">
        <v>8</v>
      </c>
      <c r="E836" s="6" t="str" cm="1">
        <f t="array" ref="E836">_xlfn.IFS(D836&lt;=5,"Newcomer",AND(D836&gt;=6,D836&lt;=10),"Proficient",D836&gt;10,"Expert")</f>
        <v>Proficient</v>
      </c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 t="str" cm="1">
        <f t="array" ref="M836">_xlfn.IFS(L836="Retirement","Voluntary",L836="Resignation","Voluntary",L836="Layoff","InVoluntary")</f>
        <v>InVoluntary</v>
      </c>
      <c r="N836" s="4" t="s">
        <v>26</v>
      </c>
      <c r="O836" s="41"/>
      <c r="P836">
        <v>1</v>
      </c>
      <c r="Q836" t="s">
        <v>174</v>
      </c>
    </row>
    <row r="837" spans="1:17" x14ac:dyDescent="0.35">
      <c r="A837" s="4">
        <v>4645</v>
      </c>
      <c r="B837" s="5">
        <v>35448</v>
      </c>
      <c r="C837" s="5">
        <v>44179</v>
      </c>
      <c r="D837" s="4">
        <v>23</v>
      </c>
      <c r="E837" s="6" t="str" cm="1">
        <f t="array" ref="E837">_xlfn.IFS(D837&lt;=5,"Newcomer",AND(D837&gt;=6,D837&lt;=10),"Proficient",D837&gt;10,"Expert")</f>
        <v>Expert</v>
      </c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 t="str" cm="1">
        <f t="array" ref="M837">_xlfn.IFS(L837="Retirement","Voluntary",L837="Resignation","Voluntary",L837="Layoff","InVoluntary")</f>
        <v>Voluntary</v>
      </c>
      <c r="N837" s="4" t="s">
        <v>26</v>
      </c>
      <c r="O837" s="41"/>
      <c r="P837">
        <v>1</v>
      </c>
      <c r="Q837" t="s">
        <v>173</v>
      </c>
    </row>
    <row r="838" spans="1:17" x14ac:dyDescent="0.35">
      <c r="A838" s="4">
        <v>4647</v>
      </c>
      <c r="B838" s="5">
        <v>40092</v>
      </c>
      <c r="C838" s="5">
        <v>44160</v>
      </c>
      <c r="D838" s="4">
        <v>11</v>
      </c>
      <c r="E838" s="6" t="str" cm="1">
        <f t="array" ref="E838">_xlfn.IFS(D838&lt;=5,"Newcomer",AND(D838&gt;=6,D838&lt;=10),"Proficient",D838&gt;10,"Expert")</f>
        <v>Expert</v>
      </c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 t="str" cm="1">
        <f t="array" ref="M838">_xlfn.IFS(L838="Retirement","Voluntary",L838="Resignation","Voluntary",L838="Layoff","InVoluntary")</f>
        <v>Voluntary</v>
      </c>
      <c r="N838" s="4" t="s">
        <v>26</v>
      </c>
      <c r="O838" s="41"/>
      <c r="P838">
        <v>1</v>
      </c>
      <c r="Q838" t="s">
        <v>173</v>
      </c>
    </row>
    <row r="839" spans="1:17" x14ac:dyDescent="0.35">
      <c r="A839" s="4">
        <v>4649</v>
      </c>
      <c r="B839" s="5">
        <v>34681</v>
      </c>
      <c r="C839" s="5">
        <v>43854</v>
      </c>
      <c r="D839" s="4">
        <v>26</v>
      </c>
      <c r="E839" s="6" t="str" cm="1">
        <f t="array" ref="E839">_xlfn.IFS(D839&lt;=5,"Newcomer",AND(D839&gt;=6,D839&lt;=10),"Proficient",D839&gt;10,"Expert")</f>
        <v>Expert</v>
      </c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 t="str" cm="1">
        <f t="array" ref="M839">_xlfn.IFS(L839="Retirement","Voluntary",L839="Resignation","Voluntary",L839="Layoff","InVoluntary")</f>
        <v>InVoluntary</v>
      </c>
      <c r="N839" s="4" t="s">
        <v>26</v>
      </c>
      <c r="O839" s="41"/>
      <c r="P839">
        <v>1</v>
      </c>
      <c r="Q839" t="s">
        <v>174</v>
      </c>
    </row>
    <row r="840" spans="1:17" x14ac:dyDescent="0.35">
      <c r="A840" s="4">
        <v>4657</v>
      </c>
      <c r="B840" s="5">
        <v>40592</v>
      </c>
      <c r="C840" s="5">
        <v>44143</v>
      </c>
      <c r="D840" s="4">
        <v>9</v>
      </c>
      <c r="E840" s="6" t="str" cm="1">
        <f t="array" ref="E840">_xlfn.IFS(D840&lt;=5,"Newcomer",AND(D840&gt;=6,D840&lt;=10),"Proficient",D840&gt;10,"Expert")</f>
        <v>Proficient</v>
      </c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 t="str" cm="1">
        <f t="array" ref="M840">_xlfn.IFS(L840="Retirement","Voluntary",L840="Resignation","Voluntary",L840="Layoff","InVoluntary")</f>
        <v>InVoluntary</v>
      </c>
      <c r="N840" s="4" t="s">
        <v>26</v>
      </c>
      <c r="O840" s="41"/>
      <c r="P840">
        <v>1</v>
      </c>
      <c r="Q840" t="s">
        <v>174</v>
      </c>
    </row>
    <row r="841" spans="1:17" x14ac:dyDescent="0.35">
      <c r="A841" s="4">
        <v>4658</v>
      </c>
      <c r="B841" s="5">
        <v>41871</v>
      </c>
      <c r="C841" s="5">
        <v>43882</v>
      </c>
      <c r="D841" s="4">
        <v>6</v>
      </c>
      <c r="E841" s="6" t="str" cm="1">
        <f t="array" ref="E841">_xlfn.IFS(D841&lt;=5,"Newcomer",AND(D841&gt;=6,D841&lt;=10),"Proficient",D841&gt;10,"Expert")</f>
        <v>Proficient</v>
      </c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 t="str" cm="1">
        <f t="array" ref="M841">_xlfn.IFS(L841="Retirement","Voluntary",L841="Resignation","Voluntary",L841="Layoff","InVoluntary")</f>
        <v>InVoluntary</v>
      </c>
      <c r="N841" s="4" t="s">
        <v>26</v>
      </c>
      <c r="O841" s="41"/>
      <c r="P841">
        <v>1</v>
      </c>
      <c r="Q841" t="s">
        <v>174</v>
      </c>
    </row>
    <row r="842" spans="1:17" x14ac:dyDescent="0.35">
      <c r="A842" s="4">
        <v>4659</v>
      </c>
      <c r="B842" s="5">
        <v>32888</v>
      </c>
      <c r="C842" s="5">
        <v>44168</v>
      </c>
      <c r="D842" s="4">
        <v>30</v>
      </c>
      <c r="E842" s="6" t="str" cm="1">
        <f t="array" ref="E842">_xlfn.IFS(D842&lt;=5,"Newcomer",AND(D842&gt;=6,D842&lt;=10),"Proficient",D842&gt;10,"Expert")</f>
        <v>Expert</v>
      </c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 t="str" cm="1">
        <f t="array" ref="M842">_xlfn.IFS(L842="Retirement","Voluntary",L842="Resignation","Voluntary",L842="Layoff","InVoluntary")</f>
        <v>InVoluntary</v>
      </c>
      <c r="N842" s="4" t="s">
        <v>26</v>
      </c>
      <c r="O842" s="41"/>
      <c r="P842">
        <v>1</v>
      </c>
      <c r="Q842" t="s">
        <v>174</v>
      </c>
    </row>
    <row r="843" spans="1:17" x14ac:dyDescent="0.35">
      <c r="A843" s="4">
        <v>4662</v>
      </c>
      <c r="B843" s="5">
        <v>37124</v>
      </c>
      <c r="C843" s="5">
        <v>43925</v>
      </c>
      <c r="D843" s="4">
        <v>19</v>
      </c>
      <c r="E843" s="6" t="str" cm="1">
        <f t="array" ref="E843">_xlfn.IFS(D843&lt;=5,"Newcomer",AND(D843&gt;=6,D843&lt;=10),"Proficient",D843&gt;10,"Expert")</f>
        <v>Expert</v>
      </c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 t="str" cm="1">
        <f t="array" ref="M843">_xlfn.IFS(L843="Retirement","Voluntary",L843="Resignation","Voluntary",L843="Layoff","InVoluntary")</f>
        <v>InVoluntary</v>
      </c>
      <c r="N843" s="4" t="s">
        <v>26</v>
      </c>
      <c r="O843" s="41"/>
      <c r="P843">
        <v>1</v>
      </c>
      <c r="Q843" t="s">
        <v>174</v>
      </c>
    </row>
    <row r="844" spans="1:17" x14ac:dyDescent="0.35">
      <c r="A844" s="4">
        <v>4665</v>
      </c>
      <c r="B844" s="5">
        <v>40155</v>
      </c>
      <c r="C844" s="5">
        <v>44013</v>
      </c>
      <c r="D844" s="4">
        <v>11</v>
      </c>
      <c r="E844" s="6" t="str" cm="1">
        <f t="array" ref="E844">_xlfn.IFS(D844&lt;=5,"Newcomer",AND(D844&gt;=6,D844&lt;=10),"Proficient",D844&gt;10,"Expert")</f>
        <v>Expert</v>
      </c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 t="str" cm="1">
        <f t="array" ref="M844">_xlfn.IFS(L844="Retirement","Voluntary",L844="Resignation","Voluntary",L844="Layoff","InVoluntary")</f>
        <v>InVoluntary</v>
      </c>
      <c r="N844" s="4" t="s">
        <v>26</v>
      </c>
      <c r="O844" s="41"/>
      <c r="P844">
        <v>1</v>
      </c>
      <c r="Q844" t="s">
        <v>174</v>
      </c>
    </row>
    <row r="845" spans="1:17" x14ac:dyDescent="0.35">
      <c r="A845" s="4">
        <v>4666</v>
      </c>
      <c r="B845" s="5">
        <v>34843</v>
      </c>
      <c r="C845" s="5">
        <v>44147</v>
      </c>
      <c r="D845" s="4">
        <v>25</v>
      </c>
      <c r="E845" s="6" t="str" cm="1">
        <f t="array" ref="E845">_xlfn.IFS(D845&lt;=5,"Newcomer",AND(D845&gt;=6,D845&lt;=10),"Proficient",D845&gt;10,"Expert")</f>
        <v>Expert</v>
      </c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 t="str" cm="1">
        <f t="array" ref="M845">_xlfn.IFS(L845="Retirement","Voluntary",L845="Resignation","Voluntary",L845="Layoff","InVoluntary")</f>
        <v>Voluntary</v>
      </c>
      <c r="N845" s="4" t="s">
        <v>26</v>
      </c>
      <c r="O845" s="41"/>
      <c r="P845">
        <v>1</v>
      </c>
      <c r="Q845" t="s">
        <v>173</v>
      </c>
    </row>
    <row r="846" spans="1:17" x14ac:dyDescent="0.35">
      <c r="A846" s="4">
        <v>4669</v>
      </c>
      <c r="B846" s="5">
        <v>40758</v>
      </c>
      <c r="C846" s="5">
        <v>44066</v>
      </c>
      <c r="D846" s="4">
        <v>9</v>
      </c>
      <c r="E846" s="6" t="str" cm="1">
        <f t="array" ref="E846">_xlfn.IFS(D846&lt;=5,"Newcomer",AND(D846&gt;=6,D846&lt;=10),"Proficient",D846&gt;10,"Expert")</f>
        <v>Proficient</v>
      </c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 t="str" cm="1">
        <f t="array" ref="M846">_xlfn.IFS(L846="Retirement","Voluntary",L846="Resignation","Voluntary",L846="Layoff","InVoluntary")</f>
        <v>InVoluntary</v>
      </c>
      <c r="N846" s="4" t="s">
        <v>26</v>
      </c>
      <c r="O846" s="41"/>
      <c r="P846">
        <v>1</v>
      </c>
      <c r="Q846" t="s">
        <v>174</v>
      </c>
    </row>
    <row r="847" spans="1:17" x14ac:dyDescent="0.35">
      <c r="A847" s="4">
        <v>4670</v>
      </c>
      <c r="B847" s="5">
        <v>33794</v>
      </c>
      <c r="C847" s="5">
        <v>43864</v>
      </c>
      <c r="D847" s="4">
        <v>28</v>
      </c>
      <c r="E847" s="6" t="str" cm="1">
        <f t="array" ref="E847">_xlfn.IFS(D847&lt;=5,"Newcomer",AND(D847&gt;=6,D847&lt;=10),"Proficient",D847&gt;10,"Expert")</f>
        <v>Expert</v>
      </c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 t="str" cm="1">
        <f t="array" ref="M847">_xlfn.IFS(L847="Retirement","Voluntary",L847="Resignation","Voluntary",L847="Layoff","InVoluntary")</f>
        <v>InVoluntary</v>
      </c>
      <c r="N847" s="4" t="s">
        <v>26</v>
      </c>
      <c r="O847" s="41"/>
      <c r="P847">
        <v>1</v>
      </c>
      <c r="Q847" t="s">
        <v>174</v>
      </c>
    </row>
    <row r="848" spans="1:17" x14ac:dyDescent="0.35">
      <c r="A848" s="4">
        <v>4671</v>
      </c>
      <c r="B848" s="5">
        <v>38037</v>
      </c>
      <c r="C848" s="5">
        <v>43842</v>
      </c>
      <c r="D848" s="4">
        <v>16</v>
      </c>
      <c r="E848" s="6" t="str" cm="1">
        <f t="array" ref="E848">_xlfn.IFS(D848&lt;=5,"Newcomer",AND(D848&gt;=6,D848&lt;=10),"Proficient",D848&gt;10,"Expert")</f>
        <v>Expert</v>
      </c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 t="str" cm="1">
        <f t="array" ref="M848">_xlfn.IFS(L848="Retirement","Voluntary",L848="Resignation","Voluntary",L848="Layoff","InVoluntary")</f>
        <v>InVoluntary</v>
      </c>
      <c r="N848" s="4" t="s">
        <v>26</v>
      </c>
      <c r="O848" s="41"/>
      <c r="P848">
        <v>1</v>
      </c>
      <c r="Q848" t="s">
        <v>174</v>
      </c>
    </row>
    <row r="849" spans="1:17" x14ac:dyDescent="0.35">
      <c r="A849" s="4">
        <v>4672</v>
      </c>
      <c r="B849" s="5">
        <v>33047</v>
      </c>
      <c r="C849" s="5">
        <v>43853</v>
      </c>
      <c r="D849" s="4">
        <v>30</v>
      </c>
      <c r="E849" s="6" t="str" cm="1">
        <f t="array" ref="E849">_xlfn.IFS(D849&lt;=5,"Newcomer",AND(D849&gt;=6,D849&lt;=10),"Proficient",D849&gt;10,"Expert")</f>
        <v>Expert</v>
      </c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 t="str" cm="1">
        <f t="array" ref="M849">_xlfn.IFS(L849="Retirement","Voluntary",L849="Resignation","Voluntary",L849="Layoff","InVoluntary")</f>
        <v>InVoluntary</v>
      </c>
      <c r="N849" s="4" t="s">
        <v>26</v>
      </c>
      <c r="O849" s="41"/>
      <c r="P849">
        <v>1</v>
      </c>
      <c r="Q849" t="s">
        <v>174</v>
      </c>
    </row>
    <row r="850" spans="1:17" x14ac:dyDescent="0.35">
      <c r="A850" s="4">
        <v>4675</v>
      </c>
      <c r="B850" s="5">
        <v>38600</v>
      </c>
      <c r="C850" s="5">
        <v>44143</v>
      </c>
      <c r="D850" s="4">
        <v>15</v>
      </c>
      <c r="E850" s="6" t="str" cm="1">
        <f t="array" ref="E850">_xlfn.IFS(D850&lt;=5,"Newcomer",AND(D850&gt;=6,D850&lt;=10),"Proficient",D850&gt;10,"Expert")</f>
        <v>Expert</v>
      </c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 t="str" cm="1">
        <f t="array" ref="M850">_xlfn.IFS(L850="Retirement","Voluntary",L850="Resignation","Voluntary",L850="Layoff","InVoluntary")</f>
        <v>InVoluntary</v>
      </c>
      <c r="N850" s="4" t="s">
        <v>26</v>
      </c>
      <c r="O850" s="41"/>
      <c r="P850">
        <v>1</v>
      </c>
      <c r="Q850" t="s">
        <v>174</v>
      </c>
    </row>
    <row r="851" spans="1:17" x14ac:dyDescent="0.35">
      <c r="A851" s="4">
        <v>4679</v>
      </c>
      <c r="B851" s="5">
        <v>36418</v>
      </c>
      <c r="C851" s="5">
        <v>44011</v>
      </c>
      <c r="D851" s="4">
        <v>21</v>
      </c>
      <c r="E851" s="6" t="str" cm="1">
        <f t="array" ref="E851">_xlfn.IFS(D851&lt;=5,"Newcomer",AND(D851&gt;=6,D851&lt;=10),"Proficient",D851&gt;10,"Expert")</f>
        <v>Expert</v>
      </c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 t="str" cm="1">
        <f t="array" ref="M851">_xlfn.IFS(L851="Retirement","Voluntary",L851="Resignation","Voluntary",L851="Layoff","InVoluntary")</f>
        <v>InVoluntary</v>
      </c>
      <c r="N851" s="4" t="s">
        <v>26</v>
      </c>
      <c r="O851" s="41"/>
      <c r="P851">
        <v>1</v>
      </c>
      <c r="Q851" t="s">
        <v>174</v>
      </c>
    </row>
    <row r="852" spans="1:17" x14ac:dyDescent="0.35">
      <c r="A852" s="4">
        <v>4680</v>
      </c>
      <c r="B852" s="5">
        <v>38549</v>
      </c>
      <c r="C852" s="5">
        <v>44077</v>
      </c>
      <c r="D852" s="4">
        <v>15</v>
      </c>
      <c r="E852" s="6" t="str" cm="1">
        <f t="array" ref="E852">_xlfn.IFS(D852&lt;=5,"Newcomer",AND(D852&gt;=6,D852&lt;=10),"Proficient",D852&gt;10,"Expert")</f>
        <v>Expert</v>
      </c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 t="str" cm="1">
        <f t="array" ref="M852">_xlfn.IFS(L852="Retirement","Voluntary",L852="Resignation","Voluntary",L852="Layoff","InVoluntary")</f>
        <v>InVoluntary</v>
      </c>
      <c r="N852" s="4" t="s">
        <v>26</v>
      </c>
      <c r="O852" s="41"/>
      <c r="P852">
        <v>1</v>
      </c>
      <c r="Q852" t="s">
        <v>174</v>
      </c>
    </row>
    <row r="853" spans="1:17" x14ac:dyDescent="0.35">
      <c r="A853" s="4">
        <v>4689</v>
      </c>
      <c r="B853" s="5">
        <v>36876</v>
      </c>
      <c r="C853" s="5">
        <v>43870</v>
      </c>
      <c r="D853" s="4">
        <v>20</v>
      </c>
      <c r="E853" s="6" t="str" cm="1">
        <f t="array" ref="E853">_xlfn.IFS(D853&lt;=5,"Newcomer",AND(D853&gt;=6,D853&lt;=10),"Proficient",D853&gt;10,"Expert")</f>
        <v>Expert</v>
      </c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 t="str" cm="1">
        <f t="array" ref="M853">_xlfn.IFS(L853="Retirement","Voluntary",L853="Resignation","Voluntary",L853="Layoff","InVoluntary")</f>
        <v>InVoluntary</v>
      </c>
      <c r="N853" s="4" t="s">
        <v>26</v>
      </c>
      <c r="O853" s="41"/>
      <c r="P853">
        <v>1</v>
      </c>
      <c r="Q853" t="s">
        <v>174</v>
      </c>
    </row>
    <row r="854" spans="1:17" x14ac:dyDescent="0.35">
      <c r="A854" s="4">
        <v>4690</v>
      </c>
      <c r="B854" s="5">
        <v>33969</v>
      </c>
      <c r="C854" s="5">
        <v>44124</v>
      </c>
      <c r="D854" s="4">
        <v>28</v>
      </c>
      <c r="E854" s="6" t="str" cm="1">
        <f t="array" ref="E854">_xlfn.IFS(D854&lt;=5,"Newcomer",AND(D854&gt;=6,D854&lt;=10),"Proficient",D854&gt;10,"Expert")</f>
        <v>Expert</v>
      </c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 t="str" cm="1">
        <f t="array" ref="M854">_xlfn.IFS(L854="Retirement","Voluntary",L854="Resignation","Voluntary",L854="Layoff","InVoluntary")</f>
        <v>InVoluntary</v>
      </c>
      <c r="N854" s="4" t="s">
        <v>26</v>
      </c>
      <c r="O854" s="41"/>
      <c r="P854">
        <v>1</v>
      </c>
      <c r="Q854" t="s">
        <v>174</v>
      </c>
    </row>
    <row r="855" spans="1:17" x14ac:dyDescent="0.35">
      <c r="A855" s="4">
        <v>4692</v>
      </c>
      <c r="B855" s="5">
        <v>37929</v>
      </c>
      <c r="C855" s="5">
        <v>44054</v>
      </c>
      <c r="D855" s="4">
        <v>17</v>
      </c>
      <c r="E855" s="6" t="str" cm="1">
        <f t="array" ref="E855">_xlfn.IFS(D855&lt;=5,"Newcomer",AND(D855&gt;=6,D855&lt;=10),"Proficient",D855&gt;10,"Expert")</f>
        <v>Expert</v>
      </c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 t="str" cm="1">
        <f t="array" ref="M855">_xlfn.IFS(L855="Retirement","Voluntary",L855="Resignation","Voluntary",L855="Layoff","InVoluntary")</f>
        <v>InVoluntary</v>
      </c>
      <c r="N855" s="4" t="s">
        <v>26</v>
      </c>
      <c r="O855" s="41"/>
      <c r="P855">
        <v>1</v>
      </c>
      <c r="Q855" t="s">
        <v>174</v>
      </c>
    </row>
    <row r="856" spans="1:17" x14ac:dyDescent="0.35">
      <c r="A856" s="4">
        <v>4694</v>
      </c>
      <c r="B856" s="5">
        <v>38393</v>
      </c>
      <c r="C856" s="5">
        <v>44095</v>
      </c>
      <c r="D856" s="4">
        <v>15</v>
      </c>
      <c r="E856" s="6" t="str" cm="1">
        <f t="array" ref="E856">_xlfn.IFS(D856&lt;=5,"Newcomer",AND(D856&gt;=6,D856&lt;=10),"Proficient",D856&gt;10,"Expert")</f>
        <v>Expert</v>
      </c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 t="str" cm="1">
        <f t="array" ref="M856">_xlfn.IFS(L856="Retirement","Voluntary",L856="Resignation","Voluntary",L856="Layoff","InVoluntary")</f>
        <v>InVoluntary</v>
      </c>
      <c r="N856" s="4" t="s">
        <v>26</v>
      </c>
      <c r="O856" s="41"/>
      <c r="P856">
        <v>1</v>
      </c>
      <c r="Q856" t="s">
        <v>174</v>
      </c>
    </row>
    <row r="857" spans="1:17" x14ac:dyDescent="0.35">
      <c r="A857" s="4">
        <v>4697</v>
      </c>
      <c r="B857" s="5">
        <v>36129</v>
      </c>
      <c r="C857" s="5">
        <v>43948</v>
      </c>
      <c r="D857" s="4">
        <v>22</v>
      </c>
      <c r="E857" s="6" t="str" cm="1">
        <f t="array" ref="E857">_xlfn.IFS(D857&lt;=5,"Newcomer",AND(D857&gt;=6,D857&lt;=10),"Proficient",D857&gt;10,"Expert")</f>
        <v>Expert</v>
      </c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 t="str" cm="1">
        <f t="array" ref="M857">_xlfn.IFS(L857="Retirement","Voluntary",L857="Resignation","Voluntary",L857="Layoff","InVoluntary")</f>
        <v>InVoluntary</v>
      </c>
      <c r="N857" s="4" t="s">
        <v>26</v>
      </c>
      <c r="O857" s="41"/>
      <c r="P857">
        <v>1</v>
      </c>
      <c r="Q857" t="s">
        <v>174</v>
      </c>
    </row>
    <row r="858" spans="1:17" x14ac:dyDescent="0.35">
      <c r="A858" s="4">
        <v>4702</v>
      </c>
      <c r="B858" s="5">
        <v>40271</v>
      </c>
      <c r="C858" s="5">
        <v>43878</v>
      </c>
      <c r="D858" s="4">
        <v>10</v>
      </c>
      <c r="E858" s="6" t="str" cm="1">
        <f t="array" ref="E858">_xlfn.IFS(D858&lt;=5,"Newcomer",AND(D858&gt;=6,D858&lt;=10),"Proficient",D858&gt;10,"Expert")</f>
        <v>Proficient</v>
      </c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 t="str" cm="1">
        <f t="array" ref="M858">_xlfn.IFS(L858="Retirement","Voluntary",L858="Resignation","Voluntary",L858="Layoff","InVoluntary")</f>
        <v>InVoluntary</v>
      </c>
      <c r="N858" s="4" t="s">
        <v>26</v>
      </c>
      <c r="O858" s="41"/>
      <c r="P858">
        <v>1</v>
      </c>
      <c r="Q858" t="s">
        <v>174</v>
      </c>
    </row>
    <row r="859" spans="1:17" x14ac:dyDescent="0.35">
      <c r="A859" s="4">
        <v>4705</v>
      </c>
      <c r="B859" s="5">
        <v>40468</v>
      </c>
      <c r="C859" s="5">
        <v>44129</v>
      </c>
      <c r="D859" s="4">
        <v>10</v>
      </c>
      <c r="E859" s="6" t="str" cm="1">
        <f t="array" ref="E859">_xlfn.IFS(D859&lt;=5,"Newcomer",AND(D859&gt;=6,D859&lt;=10),"Proficient",D859&gt;10,"Expert")</f>
        <v>Proficient</v>
      </c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 t="str" cm="1">
        <f t="array" ref="M859">_xlfn.IFS(L859="Retirement","Voluntary",L859="Resignation","Voluntary",L859="Layoff","InVoluntary")</f>
        <v>InVoluntary</v>
      </c>
      <c r="N859" s="4" t="s">
        <v>26</v>
      </c>
      <c r="O859" s="41"/>
      <c r="P859">
        <v>1</v>
      </c>
      <c r="Q859" t="s">
        <v>174</v>
      </c>
    </row>
    <row r="860" spans="1:17" x14ac:dyDescent="0.35">
      <c r="A860" s="4">
        <v>4707</v>
      </c>
      <c r="B860" s="5">
        <v>33210</v>
      </c>
      <c r="C860" s="5">
        <v>43982</v>
      </c>
      <c r="D860" s="4">
        <v>30</v>
      </c>
      <c r="E860" s="6" t="str" cm="1">
        <f t="array" ref="E860">_xlfn.IFS(D860&lt;=5,"Newcomer",AND(D860&gt;=6,D860&lt;=10),"Proficient",D860&gt;10,"Expert")</f>
        <v>Expert</v>
      </c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 t="str" cm="1">
        <f t="array" ref="M860">_xlfn.IFS(L860="Retirement","Voluntary",L860="Resignation","Voluntary",L860="Layoff","InVoluntary")</f>
        <v>InVoluntary</v>
      </c>
      <c r="N860" s="4" t="s">
        <v>26</v>
      </c>
      <c r="O860" s="41"/>
      <c r="P860">
        <v>1</v>
      </c>
      <c r="Q860" t="s">
        <v>174</v>
      </c>
    </row>
    <row r="861" spans="1:17" x14ac:dyDescent="0.35">
      <c r="A861" s="4">
        <v>4708</v>
      </c>
      <c r="B861" s="5">
        <v>33682</v>
      </c>
      <c r="C861" s="5">
        <v>43969</v>
      </c>
      <c r="D861" s="4">
        <v>28</v>
      </c>
      <c r="E861" s="6" t="str" cm="1">
        <f t="array" ref="E861">_xlfn.IFS(D861&lt;=5,"Newcomer",AND(D861&gt;=6,D861&lt;=10),"Proficient",D861&gt;10,"Expert")</f>
        <v>Expert</v>
      </c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 t="str" cm="1">
        <f t="array" ref="M861">_xlfn.IFS(L861="Retirement","Voluntary",L861="Resignation","Voluntary",L861="Layoff","InVoluntary")</f>
        <v>InVoluntary</v>
      </c>
      <c r="N861" s="4" t="s">
        <v>26</v>
      </c>
      <c r="O861" s="41"/>
      <c r="P861">
        <v>1</v>
      </c>
      <c r="Q861" t="s">
        <v>174</v>
      </c>
    </row>
    <row r="862" spans="1:17" x14ac:dyDescent="0.35">
      <c r="A862" s="4">
        <v>4710</v>
      </c>
      <c r="B862" s="5">
        <v>40934</v>
      </c>
      <c r="C862" s="5">
        <v>44084</v>
      </c>
      <c r="D862" s="4">
        <v>8</v>
      </c>
      <c r="E862" s="6" t="str" cm="1">
        <f t="array" ref="E862">_xlfn.IFS(D862&lt;=5,"Newcomer",AND(D862&gt;=6,D862&lt;=10),"Proficient",D862&gt;10,"Expert")</f>
        <v>Proficient</v>
      </c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 t="str" cm="1">
        <f t="array" ref="M862">_xlfn.IFS(L862="Retirement","Voluntary",L862="Resignation","Voluntary",L862="Layoff","InVoluntary")</f>
        <v>InVoluntary</v>
      </c>
      <c r="N862" s="4" t="s">
        <v>26</v>
      </c>
      <c r="O862" s="41"/>
      <c r="P862">
        <v>1</v>
      </c>
      <c r="Q862" t="s">
        <v>174</v>
      </c>
    </row>
    <row r="863" spans="1:17" x14ac:dyDescent="0.35">
      <c r="A863" s="4">
        <v>4711</v>
      </c>
      <c r="B863" s="5">
        <v>35055</v>
      </c>
      <c r="C863" s="5">
        <v>43837</v>
      </c>
      <c r="D863" s="4">
        <v>25</v>
      </c>
      <c r="E863" s="6" t="str" cm="1">
        <f t="array" ref="E863">_xlfn.IFS(D863&lt;=5,"Newcomer",AND(D863&gt;=6,D863&lt;=10),"Proficient",D863&gt;10,"Expert")</f>
        <v>Expert</v>
      </c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 t="str" cm="1">
        <f t="array" ref="M863">_xlfn.IFS(L863="Retirement","Voluntary",L863="Resignation","Voluntary",L863="Layoff","InVoluntary")</f>
        <v>Voluntary</v>
      </c>
      <c r="N863" s="4" t="s">
        <v>26</v>
      </c>
      <c r="O863" s="41"/>
      <c r="P863">
        <v>1</v>
      </c>
      <c r="Q863" t="s">
        <v>173</v>
      </c>
    </row>
    <row r="864" spans="1:17" x14ac:dyDescent="0.35">
      <c r="A864" s="4">
        <v>4717</v>
      </c>
      <c r="B864" s="5">
        <v>37396</v>
      </c>
      <c r="C864" s="5">
        <v>43915</v>
      </c>
      <c r="D864" s="4">
        <v>18</v>
      </c>
      <c r="E864" s="6" t="str" cm="1">
        <f t="array" ref="E864">_xlfn.IFS(D864&lt;=5,"Newcomer",AND(D864&gt;=6,D864&lt;=10),"Proficient",D864&gt;10,"Expert")</f>
        <v>Expert</v>
      </c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 t="str" cm="1">
        <f t="array" ref="M864">_xlfn.IFS(L864="Retirement","Voluntary",L864="Resignation","Voluntary",L864="Layoff","InVoluntary")</f>
        <v>InVoluntary</v>
      </c>
      <c r="N864" s="4" t="s">
        <v>26</v>
      </c>
      <c r="O864" s="41"/>
      <c r="P864">
        <v>1</v>
      </c>
      <c r="Q864" t="s">
        <v>174</v>
      </c>
    </row>
    <row r="865" spans="1:17" x14ac:dyDescent="0.35">
      <c r="A865" s="4">
        <v>4719</v>
      </c>
      <c r="B865" s="5">
        <v>36478</v>
      </c>
      <c r="C865" s="5">
        <v>43902</v>
      </c>
      <c r="D865" s="4">
        <v>21</v>
      </c>
      <c r="E865" s="6" t="str" cm="1">
        <f t="array" ref="E865">_xlfn.IFS(D865&lt;=5,"Newcomer",AND(D865&gt;=6,D865&lt;=10),"Proficient",D865&gt;10,"Expert")</f>
        <v>Expert</v>
      </c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 t="str" cm="1">
        <f t="array" ref="M865">_xlfn.IFS(L865="Retirement","Voluntary",L865="Resignation","Voluntary",L865="Layoff","InVoluntary")</f>
        <v>InVoluntary</v>
      </c>
      <c r="N865" s="4" t="s">
        <v>26</v>
      </c>
      <c r="O865" s="41"/>
      <c r="P865">
        <v>1</v>
      </c>
      <c r="Q865" t="s">
        <v>174</v>
      </c>
    </row>
    <row r="866" spans="1:17" x14ac:dyDescent="0.35">
      <c r="A866" s="4">
        <v>4721</v>
      </c>
      <c r="B866" s="5">
        <v>36021</v>
      </c>
      <c r="C866" s="5">
        <v>43991</v>
      </c>
      <c r="D866" s="4">
        <v>22</v>
      </c>
      <c r="E866" s="6" t="str" cm="1">
        <f t="array" ref="E866">_xlfn.IFS(D866&lt;=5,"Newcomer",AND(D866&gt;=6,D866&lt;=10),"Proficient",D866&gt;10,"Expert")</f>
        <v>Expert</v>
      </c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 t="str" cm="1">
        <f t="array" ref="M866">_xlfn.IFS(L866="Retirement","Voluntary",L866="Resignation","Voluntary",L866="Layoff","InVoluntary")</f>
        <v>InVoluntary</v>
      </c>
      <c r="N866" s="4" t="s">
        <v>26</v>
      </c>
      <c r="O866" s="41"/>
      <c r="P866">
        <v>1</v>
      </c>
      <c r="Q866" t="s">
        <v>174</v>
      </c>
    </row>
    <row r="867" spans="1:17" x14ac:dyDescent="0.35">
      <c r="A867" s="4">
        <v>4723</v>
      </c>
      <c r="B867" s="5">
        <v>42306</v>
      </c>
      <c r="C867" s="5">
        <v>44145</v>
      </c>
      <c r="D867" s="4">
        <v>5</v>
      </c>
      <c r="E867" s="6" t="str" cm="1">
        <f t="array" ref="E867">_xlfn.IFS(D867&lt;=5,"Newcomer",AND(D867&gt;=6,D867&lt;=10),"Proficient",D867&gt;10,"Expert")</f>
        <v>Newcomer</v>
      </c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 t="str" cm="1">
        <f t="array" ref="M867">_xlfn.IFS(L867="Retirement","Voluntary",L867="Resignation","Voluntary",L867="Layoff","InVoluntary")</f>
        <v>InVoluntary</v>
      </c>
      <c r="N867" s="4" t="s">
        <v>26</v>
      </c>
      <c r="O867" s="41"/>
      <c r="P867">
        <v>1</v>
      </c>
      <c r="Q867" t="s">
        <v>174</v>
      </c>
    </row>
    <row r="868" spans="1:17" x14ac:dyDescent="0.35">
      <c r="A868" s="4">
        <v>4726</v>
      </c>
      <c r="B868" s="5">
        <v>37271</v>
      </c>
      <c r="C868" s="5">
        <v>44081</v>
      </c>
      <c r="D868" s="4">
        <v>18</v>
      </c>
      <c r="E868" s="6" t="str" cm="1">
        <f t="array" ref="E868">_xlfn.IFS(D868&lt;=5,"Newcomer",AND(D868&gt;=6,D868&lt;=10),"Proficient",D868&gt;10,"Expert")</f>
        <v>Expert</v>
      </c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 t="str" cm="1">
        <f t="array" ref="M868">_xlfn.IFS(L868="Retirement","Voluntary",L868="Resignation","Voluntary",L868="Layoff","InVoluntary")</f>
        <v>InVoluntary</v>
      </c>
      <c r="N868" s="4" t="s">
        <v>26</v>
      </c>
      <c r="O868" s="41"/>
      <c r="P868">
        <v>1</v>
      </c>
      <c r="Q868" t="s">
        <v>174</v>
      </c>
    </row>
    <row r="869" spans="1:17" x14ac:dyDescent="0.35">
      <c r="A869" s="4">
        <v>4727</v>
      </c>
      <c r="B869" s="5">
        <v>33444</v>
      </c>
      <c r="C869" s="5">
        <v>43861</v>
      </c>
      <c r="D869" s="4">
        <v>29</v>
      </c>
      <c r="E869" s="6" t="str" cm="1">
        <f t="array" ref="E869">_xlfn.IFS(D869&lt;=5,"Newcomer",AND(D869&gt;=6,D869&lt;=10),"Proficient",D869&gt;10,"Expert")</f>
        <v>Expert</v>
      </c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 t="str" cm="1">
        <f t="array" ref="M869">_xlfn.IFS(L869="Retirement","Voluntary",L869="Resignation","Voluntary",L869="Layoff","InVoluntary")</f>
        <v>InVoluntary</v>
      </c>
      <c r="N869" s="4" t="s">
        <v>26</v>
      </c>
      <c r="O869" s="41"/>
      <c r="P869">
        <v>1</v>
      </c>
      <c r="Q869" t="s">
        <v>174</v>
      </c>
    </row>
    <row r="870" spans="1:17" x14ac:dyDescent="0.35">
      <c r="A870" s="4">
        <v>4731</v>
      </c>
      <c r="B870" s="5">
        <v>38701</v>
      </c>
      <c r="C870" s="5">
        <v>44035</v>
      </c>
      <c r="D870" s="4">
        <v>15</v>
      </c>
      <c r="E870" s="6" t="str" cm="1">
        <f t="array" ref="E870">_xlfn.IFS(D870&lt;=5,"Newcomer",AND(D870&gt;=6,D870&lt;=10),"Proficient",D870&gt;10,"Expert")</f>
        <v>Expert</v>
      </c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 t="str" cm="1">
        <f t="array" ref="M870">_xlfn.IFS(L870="Retirement","Voluntary",L870="Resignation","Voluntary",L870="Layoff","InVoluntary")</f>
        <v>InVoluntary</v>
      </c>
      <c r="N870" s="4" t="s">
        <v>26</v>
      </c>
      <c r="O870" s="41"/>
      <c r="P870">
        <v>1</v>
      </c>
      <c r="Q870" t="s">
        <v>174</v>
      </c>
    </row>
    <row r="871" spans="1:17" x14ac:dyDescent="0.35">
      <c r="A871" s="4">
        <v>4733</v>
      </c>
      <c r="B871" s="5">
        <v>42239</v>
      </c>
      <c r="C871" s="5">
        <v>43915</v>
      </c>
      <c r="D871" s="4">
        <v>5</v>
      </c>
      <c r="E871" s="6" t="str" cm="1">
        <f t="array" ref="E871">_xlfn.IFS(D871&lt;=5,"Newcomer",AND(D871&gt;=6,D871&lt;=10),"Proficient",D871&gt;10,"Expert")</f>
        <v>Newcomer</v>
      </c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 t="str" cm="1">
        <f t="array" ref="M871">_xlfn.IFS(L871="Retirement","Voluntary",L871="Resignation","Voluntary",L871="Layoff","InVoluntary")</f>
        <v>InVoluntary</v>
      </c>
      <c r="N871" s="4" t="s">
        <v>26</v>
      </c>
      <c r="O871" s="41"/>
      <c r="P871">
        <v>1</v>
      </c>
      <c r="Q871" t="s">
        <v>174</v>
      </c>
    </row>
    <row r="872" spans="1:17" x14ac:dyDescent="0.35">
      <c r="A872" s="4">
        <v>4735</v>
      </c>
      <c r="B872" s="5">
        <v>41325</v>
      </c>
      <c r="C872" s="5">
        <v>44183</v>
      </c>
      <c r="D872" s="4">
        <v>7</v>
      </c>
      <c r="E872" s="6" t="str" cm="1">
        <f t="array" ref="E872">_xlfn.IFS(D872&lt;=5,"Newcomer",AND(D872&gt;=6,D872&lt;=10),"Proficient",D872&gt;10,"Expert")</f>
        <v>Proficient</v>
      </c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 t="str" cm="1">
        <f t="array" ref="M872">_xlfn.IFS(L872="Retirement","Voluntary",L872="Resignation","Voluntary",L872="Layoff","InVoluntary")</f>
        <v>InVoluntary</v>
      </c>
      <c r="N872" s="4" t="s">
        <v>26</v>
      </c>
      <c r="O872" s="41"/>
      <c r="P872">
        <v>1</v>
      </c>
      <c r="Q872" t="s">
        <v>174</v>
      </c>
    </row>
    <row r="873" spans="1:17" x14ac:dyDescent="0.35">
      <c r="A873" s="4">
        <v>4738</v>
      </c>
      <c r="B873" s="5">
        <v>33474</v>
      </c>
      <c r="C873" s="5">
        <v>43862</v>
      </c>
      <c r="D873" s="4">
        <v>29</v>
      </c>
      <c r="E873" s="6" t="str" cm="1">
        <f t="array" ref="E873">_xlfn.IFS(D873&lt;=5,"Newcomer",AND(D873&gt;=6,D873&lt;=10),"Proficient",D873&gt;10,"Expert")</f>
        <v>Expert</v>
      </c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 t="str" cm="1">
        <f t="array" ref="M873">_xlfn.IFS(L873="Retirement","Voluntary",L873="Resignation","Voluntary",L873="Layoff","InVoluntary")</f>
        <v>InVoluntary</v>
      </c>
      <c r="N873" s="4" t="s">
        <v>26</v>
      </c>
      <c r="O873" s="41"/>
      <c r="P873">
        <v>1</v>
      </c>
      <c r="Q873" t="s">
        <v>174</v>
      </c>
    </row>
    <row r="874" spans="1:17" x14ac:dyDescent="0.35">
      <c r="A874" s="4">
        <v>4741</v>
      </c>
      <c r="B874" s="5">
        <v>39198</v>
      </c>
      <c r="C874" s="5">
        <v>44020</v>
      </c>
      <c r="D874" s="4">
        <v>13</v>
      </c>
      <c r="E874" s="6" t="str" cm="1">
        <f t="array" ref="E874">_xlfn.IFS(D874&lt;=5,"Newcomer",AND(D874&gt;=6,D874&lt;=10),"Proficient",D874&gt;10,"Expert")</f>
        <v>Expert</v>
      </c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 t="str" cm="1">
        <f t="array" ref="M874">_xlfn.IFS(L874="Retirement","Voluntary",L874="Resignation","Voluntary",L874="Layoff","InVoluntary")</f>
        <v>Voluntary</v>
      </c>
      <c r="N874" s="4" t="s">
        <v>26</v>
      </c>
      <c r="O874" s="41"/>
      <c r="P874">
        <v>1</v>
      </c>
      <c r="Q874" t="s">
        <v>173</v>
      </c>
    </row>
    <row r="875" spans="1:17" x14ac:dyDescent="0.35">
      <c r="A875" s="4">
        <v>4742</v>
      </c>
      <c r="B875" s="5">
        <v>40743</v>
      </c>
      <c r="C875" s="5">
        <v>44022</v>
      </c>
      <c r="D875" s="4">
        <v>9</v>
      </c>
      <c r="E875" s="6" t="str" cm="1">
        <f t="array" ref="E875">_xlfn.IFS(D875&lt;=5,"Newcomer",AND(D875&gt;=6,D875&lt;=10),"Proficient",D875&gt;10,"Expert")</f>
        <v>Proficient</v>
      </c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 t="str" cm="1">
        <f t="array" ref="M875">_xlfn.IFS(L875="Retirement","Voluntary",L875="Resignation","Voluntary",L875="Layoff","InVoluntary")</f>
        <v>Voluntary</v>
      </c>
      <c r="N875" s="4" t="s">
        <v>26</v>
      </c>
      <c r="O875" s="41"/>
      <c r="P875">
        <v>1</v>
      </c>
      <c r="Q875" t="s">
        <v>173</v>
      </c>
    </row>
    <row r="876" spans="1:17" x14ac:dyDescent="0.35">
      <c r="A876" s="4">
        <v>4743</v>
      </c>
      <c r="B876" s="5">
        <v>38996</v>
      </c>
      <c r="C876" s="5">
        <v>44055</v>
      </c>
      <c r="D876" s="4">
        <v>14</v>
      </c>
      <c r="E876" s="6" t="str" cm="1">
        <f t="array" ref="E876">_xlfn.IFS(D876&lt;=5,"Newcomer",AND(D876&gt;=6,D876&lt;=10),"Proficient",D876&gt;10,"Expert")</f>
        <v>Expert</v>
      </c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 t="str" cm="1">
        <f t="array" ref="M876">_xlfn.IFS(L876="Retirement","Voluntary",L876="Resignation","Voluntary",L876="Layoff","InVoluntary")</f>
        <v>InVoluntary</v>
      </c>
      <c r="N876" s="4" t="s">
        <v>26</v>
      </c>
      <c r="O876" s="41"/>
      <c r="P876">
        <v>1</v>
      </c>
      <c r="Q876" t="s">
        <v>174</v>
      </c>
    </row>
    <row r="877" spans="1:17" x14ac:dyDescent="0.35">
      <c r="A877" s="4">
        <v>4747</v>
      </c>
      <c r="B877" s="5">
        <v>34615</v>
      </c>
      <c r="C877" s="5">
        <v>44028</v>
      </c>
      <c r="D877" s="4">
        <v>26</v>
      </c>
      <c r="E877" s="6" t="str" cm="1">
        <f t="array" ref="E877">_xlfn.IFS(D877&lt;=5,"Newcomer",AND(D877&gt;=6,D877&lt;=10),"Proficient",D877&gt;10,"Expert")</f>
        <v>Expert</v>
      </c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 t="str" cm="1">
        <f t="array" ref="M877">_xlfn.IFS(L877="Retirement","Voluntary",L877="Resignation","Voluntary",L877="Layoff","InVoluntary")</f>
        <v>InVoluntary</v>
      </c>
      <c r="N877" s="4" t="s">
        <v>26</v>
      </c>
      <c r="O877" s="41"/>
      <c r="P877">
        <v>1</v>
      </c>
      <c r="Q877" t="s">
        <v>174</v>
      </c>
    </row>
    <row r="878" spans="1:17" x14ac:dyDescent="0.35">
      <c r="A878" s="4">
        <v>4748</v>
      </c>
      <c r="B878" s="5">
        <v>35841</v>
      </c>
      <c r="C878" s="5">
        <v>43915</v>
      </c>
      <c r="D878" s="4">
        <v>22</v>
      </c>
      <c r="E878" s="6" t="str" cm="1">
        <f t="array" ref="E878">_xlfn.IFS(D878&lt;=5,"Newcomer",AND(D878&gt;=6,D878&lt;=10),"Proficient",D878&gt;10,"Expert")</f>
        <v>Expert</v>
      </c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 t="str" cm="1">
        <f t="array" ref="M878">_xlfn.IFS(L878="Retirement","Voluntary",L878="Resignation","Voluntary",L878="Layoff","InVoluntary")</f>
        <v>InVoluntary</v>
      </c>
      <c r="N878" s="4" t="s">
        <v>26</v>
      </c>
      <c r="O878" s="41"/>
      <c r="P878">
        <v>1</v>
      </c>
      <c r="Q878" t="s">
        <v>174</v>
      </c>
    </row>
    <row r="879" spans="1:17" x14ac:dyDescent="0.35">
      <c r="A879" s="4">
        <v>4750</v>
      </c>
      <c r="B879" s="5">
        <v>41601</v>
      </c>
      <c r="C879" s="5">
        <v>44004</v>
      </c>
      <c r="D879" s="4">
        <v>7</v>
      </c>
      <c r="E879" s="6" t="str" cm="1">
        <f t="array" ref="E879">_xlfn.IFS(D879&lt;=5,"Newcomer",AND(D879&gt;=6,D879&lt;=10),"Proficient",D879&gt;10,"Expert")</f>
        <v>Proficient</v>
      </c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 t="str" cm="1">
        <f t="array" ref="M879">_xlfn.IFS(L879="Retirement","Voluntary",L879="Resignation","Voluntary",L879="Layoff","InVoluntary")</f>
        <v>InVoluntary</v>
      </c>
      <c r="N879" s="4" t="s">
        <v>26</v>
      </c>
      <c r="O879" s="41"/>
      <c r="P879">
        <v>1</v>
      </c>
      <c r="Q879" t="s">
        <v>174</v>
      </c>
    </row>
    <row r="880" spans="1:17" x14ac:dyDescent="0.35">
      <c r="A880" s="4">
        <v>4752</v>
      </c>
      <c r="B880" s="5">
        <v>36024</v>
      </c>
      <c r="C880" s="5">
        <v>43987</v>
      </c>
      <c r="D880" s="4">
        <v>22</v>
      </c>
      <c r="E880" s="6" t="str" cm="1">
        <f t="array" ref="E880">_xlfn.IFS(D880&lt;=5,"Newcomer",AND(D880&gt;=6,D880&lt;=10),"Proficient",D880&gt;10,"Expert")</f>
        <v>Expert</v>
      </c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 t="str" cm="1">
        <f t="array" ref="M880">_xlfn.IFS(L880="Retirement","Voluntary",L880="Resignation","Voluntary",L880="Layoff","InVoluntary")</f>
        <v>InVoluntary</v>
      </c>
      <c r="N880" s="4" t="s">
        <v>26</v>
      </c>
      <c r="O880" s="41"/>
      <c r="P880">
        <v>1</v>
      </c>
      <c r="Q880" t="s">
        <v>174</v>
      </c>
    </row>
    <row r="881" spans="1:17" x14ac:dyDescent="0.35">
      <c r="A881" s="4">
        <v>4755</v>
      </c>
      <c r="B881" s="5">
        <v>33099</v>
      </c>
      <c r="C881" s="5">
        <v>44000</v>
      </c>
      <c r="D881" s="4">
        <v>30</v>
      </c>
      <c r="E881" s="6" t="str" cm="1">
        <f t="array" ref="E881">_xlfn.IFS(D881&lt;=5,"Newcomer",AND(D881&gt;=6,D881&lt;=10),"Proficient",D881&gt;10,"Expert")</f>
        <v>Expert</v>
      </c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 t="str" cm="1">
        <f t="array" ref="M881">_xlfn.IFS(L881="Retirement","Voluntary",L881="Resignation","Voluntary",L881="Layoff","InVoluntary")</f>
        <v>InVoluntary</v>
      </c>
      <c r="N881" s="4" t="s">
        <v>26</v>
      </c>
      <c r="O881" s="41"/>
      <c r="P881">
        <v>1</v>
      </c>
      <c r="Q881" t="s">
        <v>174</v>
      </c>
    </row>
    <row r="882" spans="1:17" x14ac:dyDescent="0.35">
      <c r="A882" s="4">
        <v>4756</v>
      </c>
      <c r="B882" s="5">
        <v>34655</v>
      </c>
      <c r="C882" s="5">
        <v>43882</v>
      </c>
      <c r="D882" s="4">
        <v>26</v>
      </c>
      <c r="E882" s="6" t="str" cm="1">
        <f t="array" ref="E882">_xlfn.IFS(D882&lt;=5,"Newcomer",AND(D882&gt;=6,D882&lt;=10),"Proficient",D882&gt;10,"Expert")</f>
        <v>Expert</v>
      </c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 t="str" cm="1">
        <f t="array" ref="M882">_xlfn.IFS(L882="Retirement","Voluntary",L882="Resignation","Voluntary",L882="Layoff","InVoluntary")</f>
        <v>InVoluntary</v>
      </c>
      <c r="N882" s="4" t="s">
        <v>26</v>
      </c>
      <c r="O882" s="41"/>
      <c r="P882">
        <v>1</v>
      </c>
      <c r="Q882" t="s">
        <v>174</v>
      </c>
    </row>
    <row r="883" spans="1:17" x14ac:dyDescent="0.35">
      <c r="A883" s="4">
        <v>4757</v>
      </c>
      <c r="B883" s="5">
        <v>41913</v>
      </c>
      <c r="C883" s="5">
        <v>44042</v>
      </c>
      <c r="D883" s="4">
        <v>6</v>
      </c>
      <c r="E883" s="6" t="str" cm="1">
        <f t="array" ref="E883">_xlfn.IFS(D883&lt;=5,"Newcomer",AND(D883&gt;=6,D883&lt;=10),"Proficient",D883&gt;10,"Expert")</f>
        <v>Proficient</v>
      </c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 t="str" cm="1">
        <f t="array" ref="M883">_xlfn.IFS(L883="Retirement","Voluntary",L883="Resignation","Voluntary",L883="Layoff","InVoluntary")</f>
        <v>InVoluntary</v>
      </c>
      <c r="N883" s="4" t="s">
        <v>26</v>
      </c>
      <c r="O883" s="41"/>
      <c r="P883">
        <v>1</v>
      </c>
      <c r="Q883" t="s">
        <v>174</v>
      </c>
    </row>
    <row r="884" spans="1:17" x14ac:dyDescent="0.35">
      <c r="A884" s="4">
        <v>4760</v>
      </c>
      <c r="B884" s="5">
        <v>40207</v>
      </c>
      <c r="C884" s="5">
        <v>43941</v>
      </c>
      <c r="D884" s="4">
        <v>10</v>
      </c>
      <c r="E884" s="6" t="str" cm="1">
        <f t="array" ref="E884">_xlfn.IFS(D884&lt;=5,"Newcomer",AND(D884&gt;=6,D884&lt;=10),"Proficient",D884&gt;10,"Expert")</f>
        <v>Proficient</v>
      </c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 t="str" cm="1">
        <f t="array" ref="M884">_xlfn.IFS(L884="Retirement","Voluntary",L884="Resignation","Voluntary",L884="Layoff","InVoluntary")</f>
        <v>Voluntary</v>
      </c>
      <c r="N884" s="4" t="s">
        <v>26</v>
      </c>
      <c r="O884" s="41"/>
      <c r="P884">
        <v>1</v>
      </c>
      <c r="Q884" t="s">
        <v>173</v>
      </c>
    </row>
    <row r="885" spans="1:17" x14ac:dyDescent="0.35">
      <c r="A885" s="4">
        <v>4762</v>
      </c>
      <c r="B885" s="5">
        <v>37580</v>
      </c>
      <c r="C885" s="5">
        <v>43942</v>
      </c>
      <c r="D885" s="4">
        <v>18</v>
      </c>
      <c r="E885" s="6" t="str" cm="1">
        <f t="array" ref="E885">_xlfn.IFS(D885&lt;=5,"Newcomer",AND(D885&gt;=6,D885&lt;=10),"Proficient",D885&gt;10,"Expert")</f>
        <v>Expert</v>
      </c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 t="str" cm="1">
        <f t="array" ref="M885">_xlfn.IFS(L885="Retirement","Voluntary",L885="Resignation","Voluntary",L885="Layoff","InVoluntary")</f>
        <v>InVoluntary</v>
      </c>
      <c r="N885" s="4" t="s">
        <v>26</v>
      </c>
      <c r="O885" s="41"/>
      <c r="P885">
        <v>1</v>
      </c>
      <c r="Q885" t="s">
        <v>174</v>
      </c>
    </row>
    <row r="886" spans="1:17" x14ac:dyDescent="0.35">
      <c r="A886" s="4">
        <v>4763</v>
      </c>
      <c r="B886" s="5">
        <v>34788</v>
      </c>
      <c r="C886" s="5">
        <v>44005</v>
      </c>
      <c r="D886" s="4">
        <v>25</v>
      </c>
      <c r="E886" s="6" t="str" cm="1">
        <f t="array" ref="E886">_xlfn.IFS(D886&lt;=5,"Newcomer",AND(D886&gt;=6,D886&lt;=10),"Proficient",D886&gt;10,"Expert")</f>
        <v>Expert</v>
      </c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 t="str" cm="1">
        <f t="array" ref="M886">_xlfn.IFS(L886="Retirement","Voluntary",L886="Resignation","Voluntary",L886="Layoff","InVoluntary")</f>
        <v>InVoluntary</v>
      </c>
      <c r="N886" s="4" t="s">
        <v>26</v>
      </c>
      <c r="O886" s="41"/>
      <c r="P886">
        <v>1</v>
      </c>
      <c r="Q886" t="s">
        <v>174</v>
      </c>
    </row>
    <row r="887" spans="1:17" x14ac:dyDescent="0.35">
      <c r="A887" s="4">
        <v>4765</v>
      </c>
      <c r="B887" s="5">
        <v>32925</v>
      </c>
      <c r="C887" s="5">
        <v>43983</v>
      </c>
      <c r="D887" s="4">
        <v>30</v>
      </c>
      <c r="E887" s="6" t="str" cm="1">
        <f t="array" ref="E887">_xlfn.IFS(D887&lt;=5,"Newcomer",AND(D887&gt;=6,D887&lt;=10),"Proficient",D887&gt;10,"Expert")</f>
        <v>Expert</v>
      </c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 t="str" cm="1">
        <f t="array" ref="M887">_xlfn.IFS(L887="Retirement","Voluntary",L887="Resignation","Voluntary",L887="Layoff","InVoluntary")</f>
        <v>InVoluntary</v>
      </c>
      <c r="N887" s="4" t="s">
        <v>26</v>
      </c>
      <c r="O887" s="41"/>
      <c r="P887">
        <v>1</v>
      </c>
      <c r="Q887" t="s">
        <v>174</v>
      </c>
    </row>
    <row r="888" spans="1:17" x14ac:dyDescent="0.35">
      <c r="A888" s="4">
        <v>4767</v>
      </c>
      <c r="B888" s="5">
        <v>37346</v>
      </c>
      <c r="C888" s="5">
        <v>44032</v>
      </c>
      <c r="D888" s="4">
        <v>18</v>
      </c>
      <c r="E888" s="6" t="str" cm="1">
        <f t="array" ref="E888">_xlfn.IFS(D888&lt;=5,"Newcomer",AND(D888&gt;=6,D888&lt;=10),"Proficient",D888&gt;10,"Expert")</f>
        <v>Expert</v>
      </c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 t="str" cm="1">
        <f t="array" ref="M888">_xlfn.IFS(L888="Retirement","Voluntary",L888="Resignation","Voluntary",L888="Layoff","InVoluntary")</f>
        <v>InVoluntary</v>
      </c>
      <c r="N888" s="4" t="s">
        <v>26</v>
      </c>
      <c r="O888" s="41"/>
      <c r="P888">
        <v>1</v>
      </c>
      <c r="Q888" t="s">
        <v>174</v>
      </c>
    </row>
    <row r="889" spans="1:17" x14ac:dyDescent="0.35">
      <c r="A889" s="4">
        <v>4769</v>
      </c>
      <c r="B889" s="5">
        <v>42204</v>
      </c>
      <c r="C889" s="5">
        <v>44163</v>
      </c>
      <c r="D889" s="4">
        <v>5</v>
      </c>
      <c r="E889" s="6" t="str" cm="1">
        <f t="array" ref="E889">_xlfn.IFS(D889&lt;=5,"Newcomer",AND(D889&gt;=6,D889&lt;=10),"Proficient",D889&gt;10,"Expert")</f>
        <v>Newcomer</v>
      </c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 t="str" cm="1">
        <f t="array" ref="M889">_xlfn.IFS(L889="Retirement","Voluntary",L889="Resignation","Voluntary",L889="Layoff","InVoluntary")</f>
        <v>InVoluntary</v>
      </c>
      <c r="N889" s="4" t="s">
        <v>26</v>
      </c>
      <c r="O889" s="41"/>
      <c r="P889">
        <v>1</v>
      </c>
      <c r="Q889" t="s">
        <v>174</v>
      </c>
    </row>
    <row r="890" spans="1:17" x14ac:dyDescent="0.35">
      <c r="A890" s="4">
        <v>4770</v>
      </c>
      <c r="B890" s="5">
        <v>38133</v>
      </c>
      <c r="C890" s="5">
        <v>44104</v>
      </c>
      <c r="D890" s="4">
        <v>16</v>
      </c>
      <c r="E890" s="6" t="str" cm="1">
        <f t="array" ref="E890">_xlfn.IFS(D890&lt;=5,"Newcomer",AND(D890&gt;=6,D890&lt;=10),"Proficient",D890&gt;10,"Expert")</f>
        <v>Expert</v>
      </c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 t="str" cm="1">
        <f t="array" ref="M890">_xlfn.IFS(L890="Retirement","Voluntary",L890="Resignation","Voluntary",L890="Layoff","InVoluntary")</f>
        <v>InVoluntary</v>
      </c>
      <c r="N890" s="4" t="s">
        <v>26</v>
      </c>
      <c r="O890" s="41"/>
      <c r="P890">
        <v>1</v>
      </c>
      <c r="Q890" t="s">
        <v>174</v>
      </c>
    </row>
    <row r="891" spans="1:17" x14ac:dyDescent="0.35">
      <c r="A891" s="4">
        <v>4771</v>
      </c>
      <c r="B891" s="5">
        <v>36867</v>
      </c>
      <c r="C891" s="5">
        <v>44144</v>
      </c>
      <c r="D891" s="4">
        <v>20</v>
      </c>
      <c r="E891" s="6" t="str" cm="1">
        <f t="array" ref="E891">_xlfn.IFS(D891&lt;=5,"Newcomer",AND(D891&gt;=6,D891&lt;=10),"Proficient",D891&gt;10,"Expert")</f>
        <v>Expert</v>
      </c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 t="str" cm="1">
        <f t="array" ref="M891">_xlfn.IFS(L891="Retirement","Voluntary",L891="Resignation","Voluntary",L891="Layoff","InVoluntary")</f>
        <v>InVoluntary</v>
      </c>
      <c r="N891" s="4" t="s">
        <v>26</v>
      </c>
      <c r="O891" s="41"/>
      <c r="P891">
        <v>1</v>
      </c>
      <c r="Q891" t="s">
        <v>174</v>
      </c>
    </row>
    <row r="892" spans="1:17" x14ac:dyDescent="0.35">
      <c r="A892" s="4">
        <v>4772</v>
      </c>
      <c r="B892" s="5">
        <v>39651</v>
      </c>
      <c r="C892" s="5">
        <v>44037</v>
      </c>
      <c r="D892" s="4">
        <v>12</v>
      </c>
      <c r="E892" s="6" t="str" cm="1">
        <f t="array" ref="E892">_xlfn.IFS(D892&lt;=5,"Newcomer",AND(D892&gt;=6,D892&lt;=10),"Proficient",D892&gt;10,"Expert")</f>
        <v>Expert</v>
      </c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 t="str" cm="1">
        <f t="array" ref="M892">_xlfn.IFS(L892="Retirement","Voluntary",L892="Resignation","Voluntary",L892="Layoff","InVoluntary")</f>
        <v>InVoluntary</v>
      </c>
      <c r="N892" s="4" t="s">
        <v>26</v>
      </c>
      <c r="O892" s="41"/>
      <c r="P892">
        <v>1</v>
      </c>
      <c r="Q892" t="s">
        <v>174</v>
      </c>
    </row>
    <row r="893" spans="1:17" x14ac:dyDescent="0.35">
      <c r="A893" s="4">
        <v>4775</v>
      </c>
      <c r="B893" s="5">
        <v>35227</v>
      </c>
      <c r="C893" s="5">
        <v>44044</v>
      </c>
      <c r="D893" s="4">
        <v>24</v>
      </c>
      <c r="E893" s="6" t="str" cm="1">
        <f t="array" ref="E893">_xlfn.IFS(D893&lt;=5,"Newcomer",AND(D893&gt;=6,D893&lt;=10),"Proficient",D893&gt;10,"Expert")</f>
        <v>Expert</v>
      </c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 t="str" cm="1">
        <f t="array" ref="M893">_xlfn.IFS(L893="Retirement","Voluntary",L893="Resignation","Voluntary",L893="Layoff","InVoluntary")</f>
        <v>InVoluntary</v>
      </c>
      <c r="N893" s="4" t="s">
        <v>26</v>
      </c>
      <c r="O893" s="41"/>
      <c r="P893">
        <v>1</v>
      </c>
      <c r="Q893" t="s">
        <v>174</v>
      </c>
    </row>
    <row r="894" spans="1:17" x14ac:dyDescent="0.35">
      <c r="A894" s="4">
        <v>4778</v>
      </c>
      <c r="B894" s="5">
        <v>37221</v>
      </c>
      <c r="C894" s="5">
        <v>44091</v>
      </c>
      <c r="D894" s="4">
        <v>19</v>
      </c>
      <c r="E894" s="6" t="str" cm="1">
        <f t="array" ref="E894">_xlfn.IFS(D894&lt;=5,"Newcomer",AND(D894&gt;=6,D894&lt;=10),"Proficient",D894&gt;10,"Expert")</f>
        <v>Expert</v>
      </c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 t="str" cm="1">
        <f t="array" ref="M894">_xlfn.IFS(L894="Retirement","Voluntary",L894="Resignation","Voluntary",L894="Layoff","InVoluntary")</f>
        <v>InVoluntary</v>
      </c>
      <c r="N894" s="4" t="s">
        <v>26</v>
      </c>
      <c r="O894" s="41"/>
      <c r="P894">
        <v>1</v>
      </c>
      <c r="Q894" t="s">
        <v>174</v>
      </c>
    </row>
    <row r="895" spans="1:17" x14ac:dyDescent="0.35">
      <c r="A895" s="4">
        <v>4779</v>
      </c>
      <c r="B895" s="5">
        <v>41214</v>
      </c>
      <c r="C895" s="5">
        <v>44156</v>
      </c>
      <c r="D895" s="4">
        <v>8</v>
      </c>
      <c r="E895" s="6" t="str" cm="1">
        <f t="array" ref="E895">_xlfn.IFS(D895&lt;=5,"Newcomer",AND(D895&gt;=6,D895&lt;=10),"Proficient",D895&gt;10,"Expert")</f>
        <v>Proficient</v>
      </c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 t="str" cm="1">
        <f t="array" ref="M895">_xlfn.IFS(L895="Retirement","Voluntary",L895="Resignation","Voluntary",L895="Layoff","InVoluntary")</f>
        <v>InVoluntary</v>
      </c>
      <c r="N895" s="4" t="s">
        <v>26</v>
      </c>
      <c r="O895" s="41"/>
      <c r="P895">
        <v>1</v>
      </c>
      <c r="Q895" t="s">
        <v>174</v>
      </c>
    </row>
    <row r="896" spans="1:17" x14ac:dyDescent="0.35">
      <c r="A896" s="4">
        <v>4786</v>
      </c>
      <c r="B896" s="5">
        <v>33429</v>
      </c>
      <c r="C896" s="5">
        <v>44007</v>
      </c>
      <c r="D896" s="4">
        <v>29</v>
      </c>
      <c r="E896" s="6" t="str" cm="1">
        <f t="array" ref="E896">_xlfn.IFS(D896&lt;=5,"Newcomer",AND(D896&gt;=6,D896&lt;=10),"Proficient",D896&gt;10,"Expert")</f>
        <v>Expert</v>
      </c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 t="str" cm="1">
        <f t="array" ref="M896">_xlfn.IFS(L896="Retirement","Voluntary",L896="Resignation","Voluntary",L896="Layoff","InVoluntary")</f>
        <v>Voluntary</v>
      </c>
      <c r="N896" s="4" t="s">
        <v>26</v>
      </c>
      <c r="O896" s="41"/>
      <c r="P896">
        <v>1</v>
      </c>
      <c r="Q896" t="s">
        <v>173</v>
      </c>
    </row>
    <row r="897" spans="1:17" x14ac:dyDescent="0.35">
      <c r="A897" s="4">
        <v>4792</v>
      </c>
      <c r="B897" s="5">
        <v>40523</v>
      </c>
      <c r="C897" s="5">
        <v>43979</v>
      </c>
      <c r="D897" s="4">
        <v>10</v>
      </c>
      <c r="E897" s="6" t="str" cm="1">
        <f t="array" ref="E897">_xlfn.IFS(D897&lt;=5,"Newcomer",AND(D897&gt;=6,D897&lt;=10),"Proficient",D897&gt;10,"Expert")</f>
        <v>Proficient</v>
      </c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 t="str" cm="1">
        <f t="array" ref="M897">_xlfn.IFS(L897="Retirement","Voluntary",L897="Resignation","Voluntary",L897="Layoff","InVoluntary")</f>
        <v>InVoluntary</v>
      </c>
      <c r="N897" s="4" t="s">
        <v>26</v>
      </c>
      <c r="O897" s="41"/>
      <c r="P897">
        <v>1</v>
      </c>
      <c r="Q897" t="s">
        <v>174</v>
      </c>
    </row>
    <row r="898" spans="1:17" x14ac:dyDescent="0.35">
      <c r="A898" s="4">
        <v>4794</v>
      </c>
      <c r="B898" s="5">
        <v>33225</v>
      </c>
      <c r="C898" s="5">
        <v>44125</v>
      </c>
      <c r="D898" s="4">
        <v>30</v>
      </c>
      <c r="E898" s="6" t="str" cm="1">
        <f t="array" ref="E898">_xlfn.IFS(D898&lt;=5,"Newcomer",AND(D898&gt;=6,D898&lt;=10),"Proficient",D898&gt;10,"Expert")</f>
        <v>Expert</v>
      </c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 t="str" cm="1">
        <f t="array" ref="M898">_xlfn.IFS(L898="Retirement","Voluntary",L898="Resignation","Voluntary",L898="Layoff","InVoluntary")</f>
        <v>InVoluntary</v>
      </c>
      <c r="N898" s="4" t="s">
        <v>26</v>
      </c>
      <c r="O898" s="41"/>
      <c r="P898">
        <v>1</v>
      </c>
      <c r="Q898" t="s">
        <v>174</v>
      </c>
    </row>
    <row r="899" spans="1:17" x14ac:dyDescent="0.35">
      <c r="A899" s="4">
        <v>4795</v>
      </c>
      <c r="B899" s="5">
        <v>34941</v>
      </c>
      <c r="C899" s="5">
        <v>44055</v>
      </c>
      <c r="D899" s="4">
        <v>25</v>
      </c>
      <c r="E899" s="6" t="str" cm="1">
        <f t="array" ref="E899">_xlfn.IFS(D899&lt;=5,"Newcomer",AND(D899&gt;=6,D899&lt;=10),"Proficient",D899&gt;10,"Expert")</f>
        <v>Expert</v>
      </c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 t="str" cm="1">
        <f t="array" ref="M899">_xlfn.IFS(L899="Retirement","Voluntary",L899="Resignation","Voluntary",L899="Layoff","InVoluntary")</f>
        <v>InVoluntary</v>
      </c>
      <c r="N899" s="4" t="s">
        <v>26</v>
      </c>
      <c r="O899" s="41"/>
      <c r="P899">
        <v>1</v>
      </c>
      <c r="Q899" t="s">
        <v>174</v>
      </c>
    </row>
    <row r="900" spans="1:17" x14ac:dyDescent="0.35">
      <c r="A900" s="4">
        <v>4797</v>
      </c>
      <c r="B900" s="5">
        <v>37743</v>
      </c>
      <c r="C900" s="5">
        <v>43996</v>
      </c>
      <c r="D900" s="4">
        <v>17</v>
      </c>
      <c r="E900" s="6" t="str" cm="1">
        <f t="array" ref="E900">_xlfn.IFS(D900&lt;=5,"Newcomer",AND(D900&gt;=6,D900&lt;=10),"Proficient",D900&gt;10,"Expert")</f>
        <v>Expert</v>
      </c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 t="str" cm="1">
        <f t="array" ref="M900">_xlfn.IFS(L900="Retirement","Voluntary",L900="Resignation","Voluntary",L900="Layoff","InVoluntary")</f>
        <v>Voluntary</v>
      </c>
      <c r="N900" s="4" t="s">
        <v>26</v>
      </c>
      <c r="O900" s="41"/>
      <c r="P900">
        <v>1</v>
      </c>
      <c r="Q900" t="s">
        <v>173</v>
      </c>
    </row>
    <row r="901" spans="1:17" x14ac:dyDescent="0.35">
      <c r="A901" s="4">
        <v>4800</v>
      </c>
      <c r="B901" s="5">
        <v>35381</v>
      </c>
      <c r="C901" s="5">
        <v>44044</v>
      </c>
      <c r="D901" s="4">
        <v>24</v>
      </c>
      <c r="E901" s="6" t="str" cm="1">
        <f t="array" ref="E901">_xlfn.IFS(D901&lt;=5,"Newcomer",AND(D901&gt;=6,D901&lt;=10),"Proficient",D901&gt;10,"Expert")</f>
        <v>Expert</v>
      </c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 t="str" cm="1">
        <f t="array" ref="M901">_xlfn.IFS(L901="Retirement","Voluntary",L901="Resignation","Voluntary",L901="Layoff","InVoluntary")</f>
        <v>InVoluntary</v>
      </c>
      <c r="N901" s="4" t="s">
        <v>26</v>
      </c>
      <c r="O901" s="41"/>
      <c r="P901">
        <v>1</v>
      </c>
      <c r="Q901" t="s">
        <v>174</v>
      </c>
    </row>
    <row r="902" spans="1:17" x14ac:dyDescent="0.35">
      <c r="A902" s="4">
        <v>4805</v>
      </c>
      <c r="B902" s="5">
        <v>41742</v>
      </c>
      <c r="C902" s="5">
        <v>43898</v>
      </c>
      <c r="D902" s="4">
        <v>6</v>
      </c>
      <c r="E902" s="6" t="str" cm="1">
        <f t="array" ref="E902">_xlfn.IFS(D902&lt;=5,"Newcomer",AND(D902&gt;=6,D902&lt;=10),"Proficient",D902&gt;10,"Expert")</f>
        <v>Proficient</v>
      </c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 t="str" cm="1">
        <f t="array" ref="M902">_xlfn.IFS(L902="Retirement","Voluntary",L902="Resignation","Voluntary",L902="Layoff","InVoluntary")</f>
        <v>InVoluntary</v>
      </c>
      <c r="N902" s="4" t="s">
        <v>26</v>
      </c>
      <c r="O902" s="41"/>
      <c r="P902">
        <v>1</v>
      </c>
      <c r="Q902" t="s">
        <v>174</v>
      </c>
    </row>
    <row r="903" spans="1:17" x14ac:dyDescent="0.35">
      <c r="A903" s="4">
        <v>4806</v>
      </c>
      <c r="B903" s="5">
        <v>40848</v>
      </c>
      <c r="C903" s="5">
        <v>44080</v>
      </c>
      <c r="D903" s="4">
        <v>9</v>
      </c>
      <c r="E903" s="6" t="str" cm="1">
        <f t="array" ref="E903">_xlfn.IFS(D903&lt;=5,"Newcomer",AND(D903&gt;=6,D903&lt;=10),"Proficient",D903&gt;10,"Expert")</f>
        <v>Proficient</v>
      </c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 t="str" cm="1">
        <f t="array" ref="M903">_xlfn.IFS(L903="Retirement","Voluntary",L903="Resignation","Voluntary",L903="Layoff","InVoluntary")</f>
        <v>InVoluntary</v>
      </c>
      <c r="N903" s="4" t="s">
        <v>26</v>
      </c>
      <c r="O903" s="41"/>
      <c r="P903">
        <v>1</v>
      </c>
      <c r="Q903" t="s">
        <v>174</v>
      </c>
    </row>
    <row r="904" spans="1:17" x14ac:dyDescent="0.35">
      <c r="A904" s="4">
        <v>4807</v>
      </c>
      <c r="B904" s="5">
        <v>36828</v>
      </c>
      <c r="C904" s="5">
        <v>44186</v>
      </c>
      <c r="D904" s="4">
        <v>20</v>
      </c>
      <c r="E904" s="6" t="str" cm="1">
        <f t="array" ref="E904">_xlfn.IFS(D904&lt;=5,"Newcomer",AND(D904&gt;=6,D904&lt;=10),"Proficient",D904&gt;10,"Expert")</f>
        <v>Expert</v>
      </c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 t="str" cm="1">
        <f t="array" ref="M904">_xlfn.IFS(L904="Retirement","Voluntary",L904="Resignation","Voluntary",L904="Layoff","InVoluntary")</f>
        <v>InVoluntary</v>
      </c>
      <c r="N904" s="4" t="s">
        <v>26</v>
      </c>
      <c r="O904" s="41"/>
      <c r="P904">
        <v>1</v>
      </c>
      <c r="Q904" t="s">
        <v>174</v>
      </c>
    </row>
    <row r="905" spans="1:17" x14ac:dyDescent="0.35">
      <c r="A905" s="4">
        <v>4808</v>
      </c>
      <c r="B905" s="5">
        <v>34567</v>
      </c>
      <c r="C905" s="5">
        <v>44008</v>
      </c>
      <c r="D905" s="4">
        <v>26</v>
      </c>
      <c r="E905" s="6" t="str" cm="1">
        <f t="array" ref="E905">_xlfn.IFS(D905&lt;=5,"Newcomer",AND(D905&gt;=6,D905&lt;=10),"Proficient",D905&gt;10,"Expert")</f>
        <v>Expert</v>
      </c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 t="str" cm="1">
        <f t="array" ref="M905">_xlfn.IFS(L905="Retirement","Voluntary",L905="Resignation","Voluntary",L905="Layoff","InVoluntary")</f>
        <v>InVoluntary</v>
      </c>
      <c r="N905" s="4" t="s">
        <v>26</v>
      </c>
      <c r="O905" s="41"/>
      <c r="P905">
        <v>1</v>
      </c>
      <c r="Q905" t="s">
        <v>174</v>
      </c>
    </row>
    <row r="906" spans="1:17" x14ac:dyDescent="0.35">
      <c r="A906" s="4">
        <v>4809</v>
      </c>
      <c r="B906" s="5">
        <v>42042</v>
      </c>
      <c r="C906" s="5">
        <v>43976</v>
      </c>
      <c r="D906" s="4">
        <v>5</v>
      </c>
      <c r="E906" s="6" t="str" cm="1">
        <f t="array" ref="E906">_xlfn.IFS(D906&lt;=5,"Newcomer",AND(D906&gt;=6,D906&lt;=10),"Proficient",D906&gt;10,"Expert")</f>
        <v>Newcomer</v>
      </c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 t="str" cm="1">
        <f t="array" ref="M906">_xlfn.IFS(L906="Retirement","Voluntary",L906="Resignation","Voluntary",L906="Layoff","InVoluntary")</f>
        <v>InVoluntary</v>
      </c>
      <c r="N906" s="4" t="s">
        <v>26</v>
      </c>
      <c r="O906" s="41"/>
      <c r="P906">
        <v>1</v>
      </c>
      <c r="Q906" t="s">
        <v>174</v>
      </c>
    </row>
    <row r="907" spans="1:17" x14ac:dyDescent="0.35">
      <c r="A907" s="4">
        <v>4811</v>
      </c>
      <c r="B907" s="5">
        <v>41060</v>
      </c>
      <c r="C907" s="5">
        <v>43861</v>
      </c>
      <c r="D907" s="4">
        <v>8</v>
      </c>
      <c r="E907" s="6" t="str" cm="1">
        <f t="array" ref="E907">_xlfn.IFS(D907&lt;=5,"Newcomer",AND(D907&gt;=6,D907&lt;=10),"Proficient",D907&gt;10,"Expert")</f>
        <v>Proficient</v>
      </c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 t="str" cm="1">
        <f t="array" ref="M907">_xlfn.IFS(L907="Retirement","Voluntary",L907="Resignation","Voluntary",L907="Layoff","InVoluntary")</f>
        <v>InVoluntary</v>
      </c>
      <c r="N907" s="4" t="s">
        <v>26</v>
      </c>
      <c r="O907" s="41"/>
      <c r="P907">
        <v>1</v>
      </c>
      <c r="Q907" t="s">
        <v>174</v>
      </c>
    </row>
    <row r="908" spans="1:17" x14ac:dyDescent="0.35">
      <c r="A908" s="4">
        <v>4815</v>
      </c>
      <c r="B908" s="5">
        <v>33234</v>
      </c>
      <c r="C908" s="5">
        <v>44029</v>
      </c>
      <c r="D908" s="4">
        <v>30</v>
      </c>
      <c r="E908" s="6" t="str" cm="1">
        <f t="array" ref="E908">_xlfn.IFS(D908&lt;=5,"Newcomer",AND(D908&gt;=6,D908&lt;=10),"Proficient",D908&gt;10,"Expert")</f>
        <v>Expert</v>
      </c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 t="str" cm="1">
        <f t="array" ref="M908">_xlfn.IFS(L908="Retirement","Voluntary",L908="Resignation","Voluntary",L908="Layoff","InVoluntary")</f>
        <v>InVoluntary</v>
      </c>
      <c r="N908" s="4" t="s">
        <v>26</v>
      </c>
      <c r="O908" s="41"/>
      <c r="P908">
        <v>1</v>
      </c>
      <c r="Q908" t="s">
        <v>174</v>
      </c>
    </row>
    <row r="909" spans="1:17" x14ac:dyDescent="0.35">
      <c r="A909" s="4">
        <v>4819</v>
      </c>
      <c r="B909" s="5">
        <v>35714</v>
      </c>
      <c r="C909" s="5">
        <v>44087</v>
      </c>
      <c r="D909" s="4">
        <v>23</v>
      </c>
      <c r="E909" s="6" t="str" cm="1">
        <f t="array" ref="E909">_xlfn.IFS(D909&lt;=5,"Newcomer",AND(D909&gt;=6,D909&lt;=10),"Proficient",D909&gt;10,"Expert")</f>
        <v>Expert</v>
      </c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 t="str" cm="1">
        <f t="array" ref="M909">_xlfn.IFS(L909="Retirement","Voluntary",L909="Resignation","Voluntary",L909="Layoff","InVoluntary")</f>
        <v>InVoluntary</v>
      </c>
      <c r="N909" s="4" t="s">
        <v>26</v>
      </c>
      <c r="O909" s="41"/>
      <c r="P909">
        <v>1</v>
      </c>
      <c r="Q909" t="s">
        <v>174</v>
      </c>
    </row>
    <row r="910" spans="1:17" x14ac:dyDescent="0.35">
      <c r="A910" s="4">
        <v>4820</v>
      </c>
      <c r="B910" s="5">
        <v>36594</v>
      </c>
      <c r="C910" s="5">
        <v>43870</v>
      </c>
      <c r="D910" s="4">
        <v>20</v>
      </c>
      <c r="E910" s="6" t="str" cm="1">
        <f t="array" ref="E910">_xlfn.IFS(D910&lt;=5,"Newcomer",AND(D910&gt;=6,D910&lt;=10),"Proficient",D910&gt;10,"Expert")</f>
        <v>Expert</v>
      </c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 t="str" cm="1">
        <f t="array" ref="M910">_xlfn.IFS(L910="Retirement","Voluntary",L910="Resignation","Voluntary",L910="Layoff","InVoluntary")</f>
        <v>InVoluntary</v>
      </c>
      <c r="N910" s="4" t="s">
        <v>26</v>
      </c>
      <c r="O910" s="41"/>
      <c r="P910">
        <v>1</v>
      </c>
      <c r="Q910" t="s">
        <v>174</v>
      </c>
    </row>
    <row r="911" spans="1:17" x14ac:dyDescent="0.35">
      <c r="A911" s="4">
        <v>4823</v>
      </c>
      <c r="B911" s="5">
        <v>36788</v>
      </c>
      <c r="C911" s="5">
        <v>44130</v>
      </c>
      <c r="D911" s="4">
        <v>20</v>
      </c>
      <c r="E911" s="6" t="str" cm="1">
        <f t="array" ref="E911">_xlfn.IFS(D911&lt;=5,"Newcomer",AND(D911&gt;=6,D911&lt;=10),"Proficient",D911&gt;10,"Expert")</f>
        <v>Expert</v>
      </c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 t="str" cm="1">
        <f t="array" ref="M911">_xlfn.IFS(L911="Retirement","Voluntary",L911="Resignation","Voluntary",L911="Layoff","InVoluntary")</f>
        <v>InVoluntary</v>
      </c>
      <c r="N911" s="4" t="s">
        <v>26</v>
      </c>
      <c r="O911" s="41"/>
      <c r="P911">
        <v>1</v>
      </c>
      <c r="Q911" t="s">
        <v>174</v>
      </c>
    </row>
    <row r="912" spans="1:17" x14ac:dyDescent="0.35">
      <c r="A912" s="4">
        <v>4827</v>
      </c>
      <c r="B912" s="5">
        <v>36776</v>
      </c>
      <c r="C912" s="5">
        <v>44184</v>
      </c>
      <c r="D912" s="4">
        <v>20</v>
      </c>
      <c r="E912" s="6" t="str" cm="1">
        <f t="array" ref="E912">_xlfn.IFS(D912&lt;=5,"Newcomer",AND(D912&gt;=6,D912&lt;=10),"Proficient",D912&gt;10,"Expert")</f>
        <v>Expert</v>
      </c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 t="str" cm="1">
        <f t="array" ref="M912">_xlfn.IFS(L912="Retirement","Voluntary",L912="Resignation","Voluntary",L912="Layoff","InVoluntary")</f>
        <v>InVoluntary</v>
      </c>
      <c r="N912" s="4" t="s">
        <v>26</v>
      </c>
      <c r="O912" s="41"/>
      <c r="P912">
        <v>1</v>
      </c>
      <c r="Q912" t="s">
        <v>174</v>
      </c>
    </row>
    <row r="913" spans="1:17" x14ac:dyDescent="0.35">
      <c r="A913" s="4">
        <v>4828</v>
      </c>
      <c r="B913" s="5">
        <v>40513</v>
      </c>
      <c r="C913" s="5">
        <v>44169</v>
      </c>
      <c r="D913" s="4">
        <v>10</v>
      </c>
      <c r="E913" s="6" t="str" cm="1">
        <f t="array" ref="E913">_xlfn.IFS(D913&lt;=5,"Newcomer",AND(D913&gt;=6,D913&lt;=10),"Proficient",D913&gt;10,"Expert")</f>
        <v>Proficient</v>
      </c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 t="str" cm="1">
        <f t="array" ref="M913">_xlfn.IFS(L913="Retirement","Voluntary",L913="Resignation","Voluntary",L913="Layoff","InVoluntary")</f>
        <v>InVoluntary</v>
      </c>
      <c r="N913" s="4" t="s">
        <v>26</v>
      </c>
      <c r="O913" s="41"/>
      <c r="P913">
        <v>1</v>
      </c>
      <c r="Q913" t="s">
        <v>174</v>
      </c>
    </row>
    <row r="914" spans="1:17" x14ac:dyDescent="0.35">
      <c r="A914" s="4">
        <v>4833</v>
      </c>
      <c r="B914" s="5">
        <v>38401</v>
      </c>
      <c r="C914" s="5">
        <v>44016</v>
      </c>
      <c r="D914" s="4">
        <v>15</v>
      </c>
      <c r="E914" s="6" t="str" cm="1">
        <f t="array" ref="E914">_xlfn.IFS(D914&lt;=5,"Newcomer",AND(D914&gt;=6,D914&lt;=10),"Proficient",D914&gt;10,"Expert")</f>
        <v>Expert</v>
      </c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 t="str" cm="1">
        <f t="array" ref="M914">_xlfn.IFS(L914="Retirement","Voluntary",L914="Resignation","Voluntary",L914="Layoff","InVoluntary")</f>
        <v>InVoluntary</v>
      </c>
      <c r="N914" s="4" t="s">
        <v>26</v>
      </c>
      <c r="O914" s="41"/>
      <c r="P914">
        <v>1</v>
      </c>
      <c r="Q914" t="s">
        <v>174</v>
      </c>
    </row>
    <row r="915" spans="1:17" x14ac:dyDescent="0.35">
      <c r="A915" s="4">
        <v>4835</v>
      </c>
      <c r="B915" s="5">
        <v>37426</v>
      </c>
      <c r="C915" s="5">
        <v>44000</v>
      </c>
      <c r="D915" s="4">
        <v>18</v>
      </c>
      <c r="E915" s="6" t="str" cm="1">
        <f t="array" ref="E915">_xlfn.IFS(D915&lt;=5,"Newcomer",AND(D915&gt;=6,D915&lt;=10),"Proficient",D915&gt;10,"Expert")</f>
        <v>Expert</v>
      </c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 t="str" cm="1">
        <f t="array" ref="M915">_xlfn.IFS(L915="Retirement","Voluntary",L915="Resignation","Voluntary",L915="Layoff","InVoluntary")</f>
        <v>InVoluntary</v>
      </c>
      <c r="N915" s="4" t="s">
        <v>26</v>
      </c>
      <c r="O915" s="41"/>
      <c r="P915">
        <v>1</v>
      </c>
      <c r="Q915" t="s">
        <v>174</v>
      </c>
    </row>
    <row r="916" spans="1:17" x14ac:dyDescent="0.35">
      <c r="A916" s="4">
        <v>4836</v>
      </c>
      <c r="B916" s="5">
        <v>34627</v>
      </c>
      <c r="C916" s="5">
        <v>44036</v>
      </c>
      <c r="D916" s="4">
        <v>26</v>
      </c>
      <c r="E916" s="6" t="str" cm="1">
        <f t="array" ref="E916">_xlfn.IFS(D916&lt;=5,"Newcomer",AND(D916&gt;=6,D916&lt;=10),"Proficient",D916&gt;10,"Expert")</f>
        <v>Expert</v>
      </c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 t="str" cm="1">
        <f t="array" ref="M916">_xlfn.IFS(L916="Retirement","Voluntary",L916="Resignation","Voluntary",L916="Layoff","InVoluntary")</f>
        <v>InVoluntary</v>
      </c>
      <c r="N916" s="4" t="s">
        <v>26</v>
      </c>
      <c r="O916" s="41"/>
      <c r="P916">
        <v>1</v>
      </c>
      <c r="Q916" t="s">
        <v>174</v>
      </c>
    </row>
    <row r="917" spans="1:17" x14ac:dyDescent="0.35">
      <c r="A917" s="4">
        <v>4841</v>
      </c>
      <c r="B917" s="5">
        <v>33758</v>
      </c>
      <c r="C917" s="5">
        <v>44074</v>
      </c>
      <c r="D917" s="4">
        <v>28</v>
      </c>
      <c r="E917" s="6" t="str" cm="1">
        <f t="array" ref="E917">_xlfn.IFS(D917&lt;=5,"Newcomer",AND(D917&gt;=6,D917&lt;=10),"Proficient",D917&gt;10,"Expert")</f>
        <v>Expert</v>
      </c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 t="str" cm="1">
        <f t="array" ref="M917">_xlfn.IFS(L917="Retirement","Voluntary",L917="Resignation","Voluntary",L917="Layoff","InVoluntary")</f>
        <v>InVoluntary</v>
      </c>
      <c r="N917" s="4" t="s">
        <v>26</v>
      </c>
      <c r="O917" s="41"/>
      <c r="P917">
        <v>1</v>
      </c>
      <c r="Q917" t="s">
        <v>174</v>
      </c>
    </row>
    <row r="918" spans="1:17" x14ac:dyDescent="0.35">
      <c r="A918" s="4">
        <v>4848</v>
      </c>
      <c r="B918" s="5">
        <v>37469</v>
      </c>
      <c r="C918" s="5">
        <v>43962</v>
      </c>
      <c r="D918" s="4">
        <v>18</v>
      </c>
      <c r="E918" s="6" t="str" cm="1">
        <f t="array" ref="E918">_xlfn.IFS(D918&lt;=5,"Newcomer",AND(D918&gt;=6,D918&lt;=10),"Proficient",D918&gt;10,"Expert")</f>
        <v>Expert</v>
      </c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 t="str" cm="1">
        <f t="array" ref="M918">_xlfn.IFS(L918="Retirement","Voluntary",L918="Resignation","Voluntary",L918="Layoff","InVoluntary")</f>
        <v>InVoluntary</v>
      </c>
      <c r="N918" s="4" t="s">
        <v>26</v>
      </c>
      <c r="O918" s="41"/>
      <c r="P918">
        <v>1</v>
      </c>
      <c r="Q918" t="s">
        <v>174</v>
      </c>
    </row>
    <row r="919" spans="1:17" x14ac:dyDescent="0.35">
      <c r="A919" s="4">
        <v>4854</v>
      </c>
      <c r="B919" s="5">
        <v>36828</v>
      </c>
      <c r="C919" s="5">
        <v>43857</v>
      </c>
      <c r="D919" s="4">
        <v>20</v>
      </c>
      <c r="E919" s="6" t="str" cm="1">
        <f t="array" ref="E919">_xlfn.IFS(D919&lt;=5,"Newcomer",AND(D919&gt;=6,D919&lt;=10),"Proficient",D919&gt;10,"Expert")</f>
        <v>Expert</v>
      </c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 t="str" cm="1">
        <f t="array" ref="M919">_xlfn.IFS(L919="Retirement","Voluntary",L919="Resignation","Voluntary",L919="Layoff","InVoluntary")</f>
        <v>InVoluntary</v>
      </c>
      <c r="N919" s="4" t="s">
        <v>26</v>
      </c>
      <c r="O919" s="41"/>
      <c r="P919">
        <v>1</v>
      </c>
      <c r="Q919" t="s">
        <v>174</v>
      </c>
    </row>
    <row r="920" spans="1:17" x14ac:dyDescent="0.35">
      <c r="A920" s="4">
        <v>4856</v>
      </c>
      <c r="B920" s="5">
        <v>38694</v>
      </c>
      <c r="C920" s="5">
        <v>43966</v>
      </c>
      <c r="D920" s="4">
        <v>15</v>
      </c>
      <c r="E920" s="6" t="str" cm="1">
        <f t="array" ref="E920">_xlfn.IFS(D920&lt;=5,"Newcomer",AND(D920&gt;=6,D920&lt;=10),"Proficient",D920&gt;10,"Expert")</f>
        <v>Expert</v>
      </c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 t="str" cm="1">
        <f t="array" ref="M920">_xlfn.IFS(L920="Retirement","Voluntary",L920="Resignation","Voluntary",L920="Layoff","InVoluntary")</f>
        <v>InVoluntary</v>
      </c>
      <c r="N920" s="4" t="s">
        <v>26</v>
      </c>
      <c r="O920" s="41"/>
      <c r="P920">
        <v>1</v>
      </c>
      <c r="Q920" t="s">
        <v>174</v>
      </c>
    </row>
    <row r="921" spans="1:17" x14ac:dyDescent="0.35">
      <c r="A921" s="4">
        <v>4857</v>
      </c>
      <c r="B921" s="5">
        <v>36850</v>
      </c>
      <c r="C921" s="5">
        <v>43880</v>
      </c>
      <c r="D921" s="4">
        <v>20</v>
      </c>
      <c r="E921" s="6" t="str" cm="1">
        <f t="array" ref="E921">_xlfn.IFS(D921&lt;=5,"Newcomer",AND(D921&gt;=6,D921&lt;=10),"Proficient",D921&gt;10,"Expert")</f>
        <v>Expert</v>
      </c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 t="str" cm="1">
        <f t="array" ref="M921">_xlfn.IFS(L921="Retirement","Voluntary",L921="Resignation","Voluntary",L921="Layoff","InVoluntary")</f>
        <v>InVoluntary</v>
      </c>
      <c r="N921" s="4" t="s">
        <v>26</v>
      </c>
      <c r="O921" s="41"/>
      <c r="P921">
        <v>1</v>
      </c>
      <c r="Q921" t="s">
        <v>174</v>
      </c>
    </row>
    <row r="922" spans="1:17" x14ac:dyDescent="0.35">
      <c r="A922" s="4">
        <v>4858</v>
      </c>
      <c r="B922" s="5">
        <v>37049</v>
      </c>
      <c r="C922" s="5">
        <v>43849</v>
      </c>
      <c r="D922" s="4">
        <v>19</v>
      </c>
      <c r="E922" s="6" t="str" cm="1">
        <f t="array" ref="E922">_xlfn.IFS(D922&lt;=5,"Newcomer",AND(D922&gt;=6,D922&lt;=10),"Proficient",D922&gt;10,"Expert")</f>
        <v>Expert</v>
      </c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 t="str" cm="1">
        <f t="array" ref="M922">_xlfn.IFS(L922="Retirement","Voluntary",L922="Resignation","Voluntary",L922="Layoff","InVoluntary")</f>
        <v>InVoluntary</v>
      </c>
      <c r="N922" s="4" t="s">
        <v>26</v>
      </c>
      <c r="O922" s="41"/>
      <c r="P922">
        <v>1</v>
      </c>
      <c r="Q922" t="s">
        <v>174</v>
      </c>
    </row>
    <row r="923" spans="1:17" x14ac:dyDescent="0.35">
      <c r="A923" s="4">
        <v>4862</v>
      </c>
      <c r="B923" s="5">
        <v>38611</v>
      </c>
      <c r="C923" s="5">
        <v>43921</v>
      </c>
      <c r="D923" s="4">
        <v>15</v>
      </c>
      <c r="E923" s="6" t="str" cm="1">
        <f t="array" ref="E923">_xlfn.IFS(D923&lt;=5,"Newcomer",AND(D923&gt;=6,D923&lt;=10),"Proficient",D923&gt;10,"Expert")</f>
        <v>Expert</v>
      </c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 t="str" cm="1">
        <f t="array" ref="M923">_xlfn.IFS(L923="Retirement","Voluntary",L923="Resignation","Voluntary",L923="Layoff","InVoluntary")</f>
        <v>InVoluntary</v>
      </c>
      <c r="N923" s="4" t="s">
        <v>26</v>
      </c>
      <c r="O923" s="41"/>
      <c r="P923">
        <v>1</v>
      </c>
      <c r="Q923" t="s">
        <v>174</v>
      </c>
    </row>
    <row r="924" spans="1:17" x14ac:dyDescent="0.35">
      <c r="A924" s="4">
        <v>4863</v>
      </c>
      <c r="B924" s="5">
        <v>39683</v>
      </c>
      <c r="C924" s="5">
        <v>43927</v>
      </c>
      <c r="D924" s="4">
        <v>12</v>
      </c>
      <c r="E924" s="6" t="str" cm="1">
        <f t="array" ref="E924">_xlfn.IFS(D924&lt;=5,"Newcomer",AND(D924&gt;=6,D924&lt;=10),"Proficient",D924&gt;10,"Expert")</f>
        <v>Expert</v>
      </c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 t="str" cm="1">
        <f t="array" ref="M924">_xlfn.IFS(L924="Retirement","Voluntary",L924="Resignation","Voluntary",L924="Layoff","InVoluntary")</f>
        <v>InVoluntary</v>
      </c>
      <c r="N924" s="4" t="s">
        <v>26</v>
      </c>
      <c r="O924" s="41"/>
      <c r="P924">
        <v>1</v>
      </c>
      <c r="Q924" t="s">
        <v>174</v>
      </c>
    </row>
    <row r="925" spans="1:17" x14ac:dyDescent="0.35">
      <c r="A925" s="4">
        <v>4864</v>
      </c>
      <c r="B925" s="5">
        <v>40538</v>
      </c>
      <c r="C925" s="5">
        <v>43891</v>
      </c>
      <c r="D925" s="4">
        <v>10</v>
      </c>
      <c r="E925" s="6" t="str" cm="1">
        <f t="array" ref="E925">_xlfn.IFS(D925&lt;=5,"Newcomer",AND(D925&gt;=6,D925&lt;=10),"Proficient",D925&gt;10,"Expert")</f>
        <v>Proficient</v>
      </c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 t="str" cm="1">
        <f t="array" ref="M925">_xlfn.IFS(L925="Retirement","Voluntary",L925="Resignation","Voluntary",L925="Layoff","InVoluntary")</f>
        <v>InVoluntary</v>
      </c>
      <c r="N925" s="4" t="s">
        <v>26</v>
      </c>
      <c r="O925" s="41"/>
      <c r="P925">
        <v>1</v>
      </c>
      <c r="Q925" t="s">
        <v>174</v>
      </c>
    </row>
    <row r="926" spans="1:17" x14ac:dyDescent="0.35">
      <c r="A926" s="4">
        <v>4865</v>
      </c>
      <c r="B926" s="5">
        <v>40858</v>
      </c>
      <c r="C926" s="5">
        <v>44026</v>
      </c>
      <c r="D926" s="4">
        <v>9</v>
      </c>
      <c r="E926" s="6" t="str" cm="1">
        <f t="array" ref="E926">_xlfn.IFS(D926&lt;=5,"Newcomer",AND(D926&gt;=6,D926&lt;=10),"Proficient",D926&gt;10,"Expert")</f>
        <v>Proficient</v>
      </c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 t="str" cm="1">
        <f t="array" ref="M926">_xlfn.IFS(L926="Retirement","Voluntary",L926="Resignation","Voluntary",L926="Layoff","InVoluntary")</f>
        <v>InVoluntary</v>
      </c>
      <c r="N926" s="4" t="s">
        <v>26</v>
      </c>
      <c r="O926" s="41"/>
      <c r="P926">
        <v>1</v>
      </c>
      <c r="Q926" t="s">
        <v>174</v>
      </c>
    </row>
    <row r="927" spans="1:17" x14ac:dyDescent="0.35">
      <c r="A927" s="4">
        <v>4867</v>
      </c>
      <c r="B927" s="5">
        <v>38401</v>
      </c>
      <c r="C927" s="5">
        <v>44073</v>
      </c>
      <c r="D927" s="4">
        <v>15</v>
      </c>
      <c r="E927" s="6" t="str" cm="1">
        <f t="array" ref="E927">_xlfn.IFS(D927&lt;=5,"Newcomer",AND(D927&gt;=6,D927&lt;=10),"Proficient",D927&gt;10,"Expert")</f>
        <v>Expert</v>
      </c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 t="str" cm="1">
        <f t="array" ref="M927">_xlfn.IFS(L927="Retirement","Voluntary",L927="Resignation","Voluntary",L927="Layoff","InVoluntary")</f>
        <v>InVoluntary</v>
      </c>
      <c r="N927" s="4" t="s">
        <v>26</v>
      </c>
      <c r="O927" s="41"/>
      <c r="P927">
        <v>1</v>
      </c>
      <c r="Q927" t="s">
        <v>174</v>
      </c>
    </row>
    <row r="928" spans="1:17" x14ac:dyDescent="0.35">
      <c r="A928" s="4">
        <v>4874</v>
      </c>
      <c r="B928" s="5">
        <v>39918</v>
      </c>
      <c r="C928" s="5">
        <v>44025</v>
      </c>
      <c r="D928" s="4">
        <v>11</v>
      </c>
      <c r="E928" s="6" t="str" cm="1">
        <f t="array" ref="E928">_xlfn.IFS(D928&lt;=5,"Newcomer",AND(D928&gt;=6,D928&lt;=10),"Proficient",D928&gt;10,"Expert")</f>
        <v>Expert</v>
      </c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 t="str" cm="1">
        <f t="array" ref="M928">_xlfn.IFS(L928="Retirement","Voluntary",L928="Resignation","Voluntary",L928="Layoff","InVoluntary")</f>
        <v>InVoluntary</v>
      </c>
      <c r="N928" s="4" t="s">
        <v>26</v>
      </c>
      <c r="O928" s="41"/>
      <c r="P928">
        <v>1</v>
      </c>
      <c r="Q928" t="s">
        <v>174</v>
      </c>
    </row>
    <row r="929" spans="1:17" x14ac:dyDescent="0.35">
      <c r="A929" s="4">
        <v>4875</v>
      </c>
      <c r="B929" s="5">
        <v>34001</v>
      </c>
      <c r="C929" s="5">
        <v>43927</v>
      </c>
      <c r="D929" s="4">
        <v>27</v>
      </c>
      <c r="E929" s="6" t="str" cm="1">
        <f t="array" ref="E929">_xlfn.IFS(D929&lt;=5,"Newcomer",AND(D929&gt;=6,D929&lt;=10),"Proficient",D929&gt;10,"Expert")</f>
        <v>Expert</v>
      </c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 t="str" cm="1">
        <f t="array" ref="M929">_xlfn.IFS(L929="Retirement","Voluntary",L929="Resignation","Voluntary",L929="Layoff","InVoluntary")</f>
        <v>InVoluntary</v>
      </c>
      <c r="N929" s="4" t="s">
        <v>26</v>
      </c>
      <c r="O929" s="41"/>
      <c r="P929">
        <v>1</v>
      </c>
      <c r="Q929" t="s">
        <v>174</v>
      </c>
    </row>
    <row r="930" spans="1:17" x14ac:dyDescent="0.35">
      <c r="A930" s="4">
        <v>4877</v>
      </c>
      <c r="B930" s="5">
        <v>33011</v>
      </c>
      <c r="C930" s="5">
        <v>43933</v>
      </c>
      <c r="D930" s="4">
        <v>30</v>
      </c>
      <c r="E930" s="6" t="str" cm="1">
        <f t="array" ref="E930">_xlfn.IFS(D930&lt;=5,"Newcomer",AND(D930&gt;=6,D930&lt;=10),"Proficient",D930&gt;10,"Expert")</f>
        <v>Expert</v>
      </c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 t="str" cm="1">
        <f t="array" ref="M930">_xlfn.IFS(L930="Retirement","Voluntary",L930="Resignation","Voluntary",L930="Layoff","InVoluntary")</f>
        <v>InVoluntary</v>
      </c>
      <c r="N930" s="4" t="s">
        <v>26</v>
      </c>
      <c r="O930" s="41"/>
      <c r="P930">
        <v>1</v>
      </c>
      <c r="Q930" t="s">
        <v>174</v>
      </c>
    </row>
    <row r="931" spans="1:17" x14ac:dyDescent="0.35">
      <c r="A931" s="4">
        <v>4881</v>
      </c>
      <c r="B931" s="5">
        <v>40626</v>
      </c>
      <c r="C931" s="5">
        <v>44062</v>
      </c>
      <c r="D931" s="4">
        <v>9</v>
      </c>
      <c r="E931" s="6" t="str" cm="1">
        <f t="array" ref="E931">_xlfn.IFS(D931&lt;=5,"Newcomer",AND(D931&gt;=6,D931&lt;=10),"Proficient",D931&gt;10,"Expert")</f>
        <v>Proficient</v>
      </c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 t="str" cm="1">
        <f t="array" ref="M931">_xlfn.IFS(L931="Retirement","Voluntary",L931="Resignation","Voluntary",L931="Layoff","InVoluntary")</f>
        <v>InVoluntary</v>
      </c>
      <c r="N931" s="4" t="s">
        <v>26</v>
      </c>
      <c r="O931" s="41"/>
      <c r="P931">
        <v>1</v>
      </c>
      <c r="Q931" t="s">
        <v>174</v>
      </c>
    </row>
    <row r="932" spans="1:17" x14ac:dyDescent="0.35">
      <c r="A932" s="4">
        <v>4885</v>
      </c>
      <c r="B932" s="5">
        <v>37498</v>
      </c>
      <c r="C932" s="5">
        <v>44113</v>
      </c>
      <c r="D932" s="4">
        <v>18</v>
      </c>
      <c r="E932" s="6" t="str" cm="1">
        <f t="array" ref="E932">_xlfn.IFS(D932&lt;=5,"Newcomer",AND(D932&gt;=6,D932&lt;=10),"Proficient",D932&gt;10,"Expert")</f>
        <v>Expert</v>
      </c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 t="str" cm="1">
        <f t="array" ref="M932">_xlfn.IFS(L932="Retirement","Voluntary",L932="Resignation","Voluntary",L932="Layoff","InVoluntary")</f>
        <v>InVoluntary</v>
      </c>
      <c r="N932" s="4" t="s">
        <v>26</v>
      </c>
      <c r="O932" s="41"/>
      <c r="P932">
        <v>1</v>
      </c>
      <c r="Q932" t="s">
        <v>174</v>
      </c>
    </row>
    <row r="933" spans="1:17" x14ac:dyDescent="0.35">
      <c r="A933" s="4">
        <v>4886</v>
      </c>
      <c r="B933" s="5">
        <v>35815</v>
      </c>
      <c r="C933" s="5">
        <v>43882</v>
      </c>
      <c r="D933" s="4">
        <v>22</v>
      </c>
      <c r="E933" s="6" t="str" cm="1">
        <f t="array" ref="E933">_xlfn.IFS(D933&lt;=5,"Newcomer",AND(D933&gt;=6,D933&lt;=10),"Proficient",D933&gt;10,"Expert")</f>
        <v>Expert</v>
      </c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 t="str" cm="1">
        <f t="array" ref="M933">_xlfn.IFS(L933="Retirement","Voluntary",L933="Resignation","Voluntary",L933="Layoff","InVoluntary")</f>
        <v>InVoluntary</v>
      </c>
      <c r="N933" s="4" t="s">
        <v>26</v>
      </c>
      <c r="O933" s="41"/>
      <c r="P933">
        <v>1</v>
      </c>
      <c r="Q933" t="s">
        <v>174</v>
      </c>
    </row>
    <row r="934" spans="1:17" x14ac:dyDescent="0.35">
      <c r="A934" s="4">
        <v>4889</v>
      </c>
      <c r="B934" s="5">
        <v>34508</v>
      </c>
      <c r="C934" s="5">
        <v>44056</v>
      </c>
      <c r="D934" s="4">
        <v>26</v>
      </c>
      <c r="E934" s="6" t="str" cm="1">
        <f t="array" ref="E934">_xlfn.IFS(D934&lt;=5,"Newcomer",AND(D934&gt;=6,D934&lt;=10),"Proficient",D934&gt;10,"Expert")</f>
        <v>Expert</v>
      </c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 t="str" cm="1">
        <f t="array" ref="M934">_xlfn.IFS(L934="Retirement","Voluntary",L934="Resignation","Voluntary",L934="Layoff","InVoluntary")</f>
        <v>InVoluntary</v>
      </c>
      <c r="N934" s="4" t="s">
        <v>26</v>
      </c>
      <c r="O934" s="41"/>
      <c r="P934">
        <v>1</v>
      </c>
      <c r="Q934" t="s">
        <v>174</v>
      </c>
    </row>
    <row r="935" spans="1:17" x14ac:dyDescent="0.35">
      <c r="A935" s="4">
        <v>4894</v>
      </c>
      <c r="B935" s="5">
        <v>34561</v>
      </c>
      <c r="C935" s="5">
        <v>44003</v>
      </c>
      <c r="D935" s="4">
        <v>26</v>
      </c>
      <c r="E935" s="6" t="str" cm="1">
        <f t="array" ref="E935">_xlfn.IFS(D935&lt;=5,"Newcomer",AND(D935&gt;=6,D935&lt;=10),"Proficient",D935&gt;10,"Expert")</f>
        <v>Expert</v>
      </c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 t="str" cm="1">
        <f t="array" ref="M935">_xlfn.IFS(L935="Retirement","Voluntary",L935="Resignation","Voluntary",L935="Layoff","InVoluntary")</f>
        <v>InVoluntary</v>
      </c>
      <c r="N935" s="4" t="s">
        <v>26</v>
      </c>
      <c r="O935" s="41"/>
      <c r="P935">
        <v>1</v>
      </c>
      <c r="Q935" t="s">
        <v>174</v>
      </c>
    </row>
    <row r="936" spans="1:17" x14ac:dyDescent="0.35">
      <c r="A936" s="4">
        <v>4896</v>
      </c>
      <c r="B936" s="5">
        <v>34825</v>
      </c>
      <c r="C936" s="5">
        <v>44122</v>
      </c>
      <c r="D936" s="4">
        <v>25</v>
      </c>
      <c r="E936" s="6" t="str" cm="1">
        <f t="array" ref="E936">_xlfn.IFS(D936&lt;=5,"Newcomer",AND(D936&gt;=6,D936&lt;=10),"Proficient",D936&gt;10,"Expert")</f>
        <v>Expert</v>
      </c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 t="str" cm="1">
        <f t="array" ref="M936">_xlfn.IFS(L936="Retirement","Voluntary",L936="Resignation","Voluntary",L936="Layoff","InVoluntary")</f>
        <v>InVoluntary</v>
      </c>
      <c r="N936" s="4" t="s">
        <v>26</v>
      </c>
      <c r="O936" s="41"/>
      <c r="P936">
        <v>1</v>
      </c>
      <c r="Q936" t="s">
        <v>174</v>
      </c>
    </row>
    <row r="937" spans="1:17" x14ac:dyDescent="0.35">
      <c r="A937" s="4">
        <v>4897</v>
      </c>
      <c r="B937" s="5">
        <v>41284</v>
      </c>
      <c r="C937" s="5">
        <v>44062</v>
      </c>
      <c r="D937" s="4">
        <v>7</v>
      </c>
      <c r="E937" s="6" t="str" cm="1">
        <f t="array" ref="E937">_xlfn.IFS(D937&lt;=5,"Newcomer",AND(D937&gt;=6,D937&lt;=10),"Proficient",D937&gt;10,"Expert")</f>
        <v>Proficient</v>
      </c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 t="str" cm="1">
        <f t="array" ref="M937">_xlfn.IFS(L937="Retirement","Voluntary",L937="Resignation","Voluntary",L937="Layoff","InVoluntary")</f>
        <v>InVoluntary</v>
      </c>
      <c r="N937" s="4" t="s">
        <v>26</v>
      </c>
      <c r="O937" s="41"/>
      <c r="P937">
        <v>1</v>
      </c>
      <c r="Q937" t="s">
        <v>174</v>
      </c>
    </row>
    <row r="938" spans="1:17" x14ac:dyDescent="0.35">
      <c r="A938" s="4">
        <v>4899</v>
      </c>
      <c r="B938" s="5">
        <v>38091</v>
      </c>
      <c r="C938" s="5">
        <v>43880</v>
      </c>
      <c r="D938" s="4">
        <v>16</v>
      </c>
      <c r="E938" s="6" t="str" cm="1">
        <f t="array" ref="E938">_xlfn.IFS(D938&lt;=5,"Newcomer",AND(D938&gt;=6,D938&lt;=10),"Proficient",D938&gt;10,"Expert")</f>
        <v>Expert</v>
      </c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 t="str" cm="1">
        <f t="array" ref="M938">_xlfn.IFS(L938="Retirement","Voluntary",L938="Resignation","Voluntary",L938="Layoff","InVoluntary")</f>
        <v>InVoluntary</v>
      </c>
      <c r="N938" s="4" t="s">
        <v>26</v>
      </c>
      <c r="O938" s="41"/>
      <c r="P938">
        <v>1</v>
      </c>
      <c r="Q938" t="s">
        <v>174</v>
      </c>
    </row>
    <row r="939" spans="1:17" x14ac:dyDescent="0.35">
      <c r="A939" s="4">
        <v>4901</v>
      </c>
      <c r="B939" s="5">
        <v>35103</v>
      </c>
      <c r="C939" s="5">
        <v>44161</v>
      </c>
      <c r="D939" s="4">
        <v>24</v>
      </c>
      <c r="E939" s="6" t="str" cm="1">
        <f t="array" ref="E939">_xlfn.IFS(D939&lt;=5,"Newcomer",AND(D939&gt;=6,D939&lt;=10),"Proficient",D939&gt;10,"Expert")</f>
        <v>Expert</v>
      </c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 t="str" cm="1">
        <f t="array" ref="M939">_xlfn.IFS(L939="Retirement","Voluntary",L939="Resignation","Voluntary",L939="Layoff","InVoluntary")</f>
        <v>InVoluntary</v>
      </c>
      <c r="N939" s="4" t="s">
        <v>26</v>
      </c>
      <c r="O939" s="41"/>
      <c r="P939">
        <v>1</v>
      </c>
      <c r="Q939" t="s">
        <v>174</v>
      </c>
    </row>
    <row r="940" spans="1:17" x14ac:dyDescent="0.35">
      <c r="A940" s="4">
        <v>4902</v>
      </c>
      <c r="B940" s="5">
        <v>37919</v>
      </c>
      <c r="C940" s="5">
        <v>44135</v>
      </c>
      <c r="D940" s="4">
        <v>17</v>
      </c>
      <c r="E940" s="6" t="str" cm="1">
        <f t="array" ref="E940">_xlfn.IFS(D940&lt;=5,"Newcomer",AND(D940&gt;=6,D940&lt;=10),"Proficient",D940&gt;10,"Expert")</f>
        <v>Expert</v>
      </c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 t="str" cm="1">
        <f t="array" ref="M940">_xlfn.IFS(L940="Retirement","Voluntary",L940="Resignation","Voluntary",L940="Layoff","InVoluntary")</f>
        <v>InVoluntary</v>
      </c>
      <c r="N940" s="4" t="s">
        <v>26</v>
      </c>
      <c r="O940" s="41"/>
      <c r="P940">
        <v>1</v>
      </c>
      <c r="Q940" t="s">
        <v>174</v>
      </c>
    </row>
    <row r="941" spans="1:17" x14ac:dyDescent="0.35">
      <c r="A941" s="4">
        <v>4903</v>
      </c>
      <c r="B941" s="5">
        <v>41247</v>
      </c>
      <c r="C941" s="5">
        <v>44034</v>
      </c>
      <c r="D941" s="4">
        <v>8</v>
      </c>
      <c r="E941" s="6" t="str" cm="1">
        <f t="array" ref="E941">_xlfn.IFS(D941&lt;=5,"Newcomer",AND(D941&gt;=6,D941&lt;=10),"Proficient",D941&gt;10,"Expert")</f>
        <v>Proficient</v>
      </c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 t="str" cm="1">
        <f t="array" ref="M941">_xlfn.IFS(L941="Retirement","Voluntary",L941="Resignation","Voluntary",L941="Layoff","InVoluntary")</f>
        <v>InVoluntary</v>
      </c>
      <c r="N941" s="4" t="s">
        <v>26</v>
      </c>
      <c r="O941" s="41"/>
      <c r="P941">
        <v>1</v>
      </c>
      <c r="Q941" t="s">
        <v>174</v>
      </c>
    </row>
    <row r="942" spans="1:17" x14ac:dyDescent="0.35">
      <c r="A942" s="4">
        <v>4904</v>
      </c>
      <c r="B942" s="5">
        <v>41759</v>
      </c>
      <c r="C942" s="5">
        <v>44185</v>
      </c>
      <c r="D942" s="4">
        <v>6</v>
      </c>
      <c r="E942" s="6" t="str" cm="1">
        <f t="array" ref="E942">_xlfn.IFS(D942&lt;=5,"Newcomer",AND(D942&gt;=6,D942&lt;=10),"Proficient",D942&gt;10,"Expert")</f>
        <v>Proficient</v>
      </c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 t="str" cm="1">
        <f t="array" ref="M942">_xlfn.IFS(L942="Retirement","Voluntary",L942="Resignation","Voluntary",L942="Layoff","InVoluntary")</f>
        <v>Voluntary</v>
      </c>
      <c r="N942" s="4" t="s">
        <v>26</v>
      </c>
      <c r="O942" s="41"/>
      <c r="P942">
        <v>1</v>
      </c>
      <c r="Q942" t="s">
        <v>173</v>
      </c>
    </row>
    <row r="943" spans="1:17" x14ac:dyDescent="0.35">
      <c r="A943" s="4">
        <v>4905</v>
      </c>
      <c r="B943" s="5">
        <v>41251</v>
      </c>
      <c r="C943" s="5">
        <v>44129</v>
      </c>
      <c r="D943" s="4">
        <v>8</v>
      </c>
      <c r="E943" s="6" t="str" cm="1">
        <f t="array" ref="E943">_xlfn.IFS(D943&lt;=5,"Newcomer",AND(D943&gt;=6,D943&lt;=10),"Proficient",D943&gt;10,"Expert")</f>
        <v>Proficient</v>
      </c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 t="str" cm="1">
        <f t="array" ref="M943">_xlfn.IFS(L943="Retirement","Voluntary",L943="Resignation","Voluntary",L943="Layoff","InVoluntary")</f>
        <v>InVoluntary</v>
      </c>
      <c r="N943" s="4" t="s">
        <v>26</v>
      </c>
      <c r="O943" s="41"/>
      <c r="P943">
        <v>1</v>
      </c>
      <c r="Q943" t="s">
        <v>174</v>
      </c>
    </row>
    <row r="944" spans="1:17" x14ac:dyDescent="0.35">
      <c r="A944" s="4">
        <v>4908</v>
      </c>
      <c r="B944" s="5">
        <v>33605</v>
      </c>
      <c r="C944" s="5">
        <v>44047</v>
      </c>
      <c r="D944" s="4">
        <v>28</v>
      </c>
      <c r="E944" s="6" t="str" cm="1">
        <f t="array" ref="E944">_xlfn.IFS(D944&lt;=5,"Newcomer",AND(D944&gt;=6,D944&lt;=10),"Proficient",D944&gt;10,"Expert")</f>
        <v>Expert</v>
      </c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 t="str" cm="1">
        <f t="array" ref="M944">_xlfn.IFS(L944="Retirement","Voluntary",L944="Resignation","Voluntary",L944="Layoff","InVoluntary")</f>
        <v>InVoluntary</v>
      </c>
      <c r="N944" s="4" t="s">
        <v>26</v>
      </c>
      <c r="O944" s="41"/>
      <c r="P944">
        <v>1</v>
      </c>
      <c r="Q944" t="s">
        <v>174</v>
      </c>
    </row>
    <row r="945" spans="1:17" x14ac:dyDescent="0.35">
      <c r="A945" s="4">
        <v>4910</v>
      </c>
      <c r="B945" s="5">
        <v>40930</v>
      </c>
      <c r="C945" s="5">
        <v>44095</v>
      </c>
      <c r="D945" s="4">
        <v>8</v>
      </c>
      <c r="E945" s="6" t="str" cm="1">
        <f t="array" ref="E945">_xlfn.IFS(D945&lt;=5,"Newcomer",AND(D945&gt;=6,D945&lt;=10),"Proficient",D945&gt;10,"Expert")</f>
        <v>Proficient</v>
      </c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 t="str" cm="1">
        <f t="array" ref="M945">_xlfn.IFS(L945="Retirement","Voluntary",L945="Resignation","Voluntary",L945="Layoff","InVoluntary")</f>
        <v>InVoluntary</v>
      </c>
      <c r="N945" s="4" t="s">
        <v>26</v>
      </c>
      <c r="O945" s="41"/>
      <c r="P945">
        <v>1</v>
      </c>
      <c r="Q945" t="s">
        <v>174</v>
      </c>
    </row>
    <row r="946" spans="1:17" x14ac:dyDescent="0.35">
      <c r="A946" s="4">
        <v>4911</v>
      </c>
      <c r="B946" s="5">
        <v>37616</v>
      </c>
      <c r="C946" s="5">
        <v>44139</v>
      </c>
      <c r="D946" s="4">
        <v>18</v>
      </c>
      <c r="E946" s="6" t="str" cm="1">
        <f t="array" ref="E946">_xlfn.IFS(D946&lt;=5,"Newcomer",AND(D946&gt;=6,D946&lt;=10),"Proficient",D946&gt;10,"Expert")</f>
        <v>Expert</v>
      </c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 t="str" cm="1">
        <f t="array" ref="M946">_xlfn.IFS(L946="Retirement","Voluntary",L946="Resignation","Voluntary",L946="Layoff","InVoluntary")</f>
        <v>InVoluntary</v>
      </c>
      <c r="N946" s="4" t="s">
        <v>26</v>
      </c>
      <c r="O946" s="41"/>
      <c r="P946">
        <v>1</v>
      </c>
      <c r="Q946" t="s">
        <v>174</v>
      </c>
    </row>
    <row r="947" spans="1:17" x14ac:dyDescent="0.35">
      <c r="A947" s="4">
        <v>4912</v>
      </c>
      <c r="B947" s="5">
        <v>35115</v>
      </c>
      <c r="C947" s="5">
        <v>43950</v>
      </c>
      <c r="D947" s="4">
        <v>24</v>
      </c>
      <c r="E947" s="6" t="str" cm="1">
        <f t="array" ref="E947">_xlfn.IFS(D947&lt;=5,"Newcomer",AND(D947&gt;=6,D947&lt;=10),"Proficient",D947&gt;10,"Expert")</f>
        <v>Expert</v>
      </c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 t="str" cm="1">
        <f t="array" ref="M947">_xlfn.IFS(L947="Retirement","Voluntary",L947="Resignation","Voluntary",L947="Layoff","InVoluntary")</f>
        <v>InVoluntary</v>
      </c>
      <c r="N947" s="4" t="s">
        <v>26</v>
      </c>
      <c r="O947" s="41"/>
      <c r="P947">
        <v>1</v>
      </c>
      <c r="Q947" t="s">
        <v>174</v>
      </c>
    </row>
    <row r="948" spans="1:17" x14ac:dyDescent="0.35">
      <c r="A948" s="4">
        <v>4913</v>
      </c>
      <c r="B948" s="5">
        <v>41394</v>
      </c>
      <c r="C948" s="5">
        <v>44019</v>
      </c>
      <c r="D948" s="4">
        <v>7</v>
      </c>
      <c r="E948" s="6" t="str" cm="1">
        <f t="array" ref="E948">_xlfn.IFS(D948&lt;=5,"Newcomer",AND(D948&gt;=6,D948&lt;=10),"Proficient",D948&gt;10,"Expert")</f>
        <v>Proficient</v>
      </c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 t="str" cm="1">
        <f t="array" ref="M948">_xlfn.IFS(L948="Retirement","Voluntary",L948="Resignation","Voluntary",L948="Layoff","InVoluntary")</f>
        <v>InVoluntary</v>
      </c>
      <c r="N948" s="4" t="s">
        <v>26</v>
      </c>
      <c r="O948" s="41"/>
      <c r="P948">
        <v>1</v>
      </c>
      <c r="Q948" t="s">
        <v>174</v>
      </c>
    </row>
    <row r="949" spans="1:17" x14ac:dyDescent="0.35">
      <c r="A949" s="4">
        <v>4914</v>
      </c>
      <c r="B949" s="5">
        <v>34557</v>
      </c>
      <c r="C949" s="5">
        <v>44190</v>
      </c>
      <c r="D949" s="4">
        <v>26</v>
      </c>
      <c r="E949" s="6" t="str" cm="1">
        <f t="array" ref="E949">_xlfn.IFS(D949&lt;=5,"Newcomer",AND(D949&gt;=6,D949&lt;=10),"Proficient",D949&gt;10,"Expert")</f>
        <v>Expert</v>
      </c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 t="str" cm="1">
        <f t="array" ref="M949">_xlfn.IFS(L949="Retirement","Voluntary",L949="Resignation","Voluntary",L949="Layoff","InVoluntary")</f>
        <v>Voluntary</v>
      </c>
      <c r="N949" s="4" t="s">
        <v>26</v>
      </c>
      <c r="O949" s="41"/>
      <c r="P949">
        <v>1</v>
      </c>
      <c r="Q949" t="s">
        <v>173</v>
      </c>
    </row>
    <row r="950" spans="1:17" x14ac:dyDescent="0.35">
      <c r="A950" s="4">
        <v>4915</v>
      </c>
      <c r="B950" s="5">
        <v>39107</v>
      </c>
      <c r="C950" s="5">
        <v>43851</v>
      </c>
      <c r="D950" s="4">
        <v>13</v>
      </c>
      <c r="E950" s="6" t="str" cm="1">
        <f t="array" ref="E950">_xlfn.IFS(D950&lt;=5,"Newcomer",AND(D950&gt;=6,D950&lt;=10),"Proficient",D950&gt;10,"Expert")</f>
        <v>Expert</v>
      </c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 t="str" cm="1">
        <f t="array" ref="M950">_xlfn.IFS(L950="Retirement","Voluntary",L950="Resignation","Voluntary",L950="Layoff","InVoluntary")</f>
        <v>InVoluntary</v>
      </c>
      <c r="N950" s="4" t="s">
        <v>26</v>
      </c>
      <c r="O950" s="41"/>
      <c r="P950">
        <v>1</v>
      </c>
      <c r="Q950" t="s">
        <v>174</v>
      </c>
    </row>
    <row r="951" spans="1:17" x14ac:dyDescent="0.35">
      <c r="A951" s="4">
        <v>4916</v>
      </c>
      <c r="B951" s="5">
        <v>40049</v>
      </c>
      <c r="C951" s="5">
        <v>43986</v>
      </c>
      <c r="D951" s="4">
        <v>11</v>
      </c>
      <c r="E951" s="6" t="str" cm="1">
        <f t="array" ref="E951">_xlfn.IFS(D951&lt;=5,"Newcomer",AND(D951&gt;=6,D951&lt;=10),"Proficient",D951&gt;10,"Expert")</f>
        <v>Expert</v>
      </c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 t="str" cm="1">
        <f t="array" ref="M951">_xlfn.IFS(L951="Retirement","Voluntary",L951="Resignation","Voluntary",L951="Layoff","InVoluntary")</f>
        <v>InVoluntary</v>
      </c>
      <c r="N951" s="4" t="s">
        <v>26</v>
      </c>
      <c r="O951" s="41"/>
      <c r="P951">
        <v>1</v>
      </c>
      <c r="Q951" t="s">
        <v>174</v>
      </c>
    </row>
    <row r="952" spans="1:17" x14ac:dyDescent="0.35">
      <c r="A952" s="4">
        <v>4918</v>
      </c>
      <c r="B952" s="5">
        <v>36111</v>
      </c>
      <c r="C952" s="5">
        <v>44072</v>
      </c>
      <c r="D952" s="4">
        <v>22</v>
      </c>
      <c r="E952" s="6" t="str" cm="1">
        <f t="array" ref="E952">_xlfn.IFS(D952&lt;=5,"Newcomer",AND(D952&gt;=6,D952&lt;=10),"Proficient",D952&gt;10,"Expert")</f>
        <v>Expert</v>
      </c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 t="str" cm="1">
        <f t="array" ref="M952">_xlfn.IFS(L952="Retirement","Voluntary",L952="Resignation","Voluntary",L952="Layoff","InVoluntary")</f>
        <v>InVoluntary</v>
      </c>
      <c r="N952" s="4" t="s">
        <v>26</v>
      </c>
      <c r="O952" s="41"/>
      <c r="P952">
        <v>1</v>
      </c>
      <c r="Q952" t="s">
        <v>174</v>
      </c>
    </row>
    <row r="953" spans="1:17" x14ac:dyDescent="0.35">
      <c r="A953" s="4">
        <v>4920</v>
      </c>
      <c r="B953" s="5">
        <v>38533</v>
      </c>
      <c r="C953" s="5">
        <v>43860</v>
      </c>
      <c r="D953" s="4">
        <v>15</v>
      </c>
      <c r="E953" s="6" t="str" cm="1">
        <f t="array" ref="E953">_xlfn.IFS(D953&lt;=5,"Newcomer",AND(D953&gt;=6,D953&lt;=10),"Proficient",D953&gt;10,"Expert")</f>
        <v>Expert</v>
      </c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 t="str" cm="1">
        <f t="array" ref="M953">_xlfn.IFS(L953="Retirement","Voluntary",L953="Resignation","Voluntary",L953="Layoff","InVoluntary")</f>
        <v>InVoluntary</v>
      </c>
      <c r="N953" s="4" t="s">
        <v>26</v>
      </c>
      <c r="O953" s="41"/>
      <c r="P953">
        <v>1</v>
      </c>
      <c r="Q953" t="s">
        <v>174</v>
      </c>
    </row>
    <row r="954" spans="1:17" x14ac:dyDescent="0.35">
      <c r="A954" s="4">
        <v>4921</v>
      </c>
      <c r="B954" s="5">
        <v>33369</v>
      </c>
      <c r="C954" s="5">
        <v>44072</v>
      </c>
      <c r="D954" s="4">
        <v>29</v>
      </c>
      <c r="E954" s="6" t="str" cm="1">
        <f t="array" ref="E954">_xlfn.IFS(D954&lt;=5,"Newcomer",AND(D954&gt;=6,D954&lt;=10),"Proficient",D954&gt;10,"Expert")</f>
        <v>Expert</v>
      </c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 t="str" cm="1">
        <f t="array" ref="M954">_xlfn.IFS(L954="Retirement","Voluntary",L954="Resignation","Voluntary",L954="Layoff","InVoluntary")</f>
        <v>InVoluntary</v>
      </c>
      <c r="N954" s="4" t="s">
        <v>26</v>
      </c>
      <c r="O954" s="41"/>
      <c r="P954">
        <v>1</v>
      </c>
      <c r="Q954" t="s">
        <v>174</v>
      </c>
    </row>
    <row r="955" spans="1:17" x14ac:dyDescent="0.35">
      <c r="A955" s="4">
        <v>4924</v>
      </c>
      <c r="B955" s="5">
        <v>35751</v>
      </c>
      <c r="C955" s="5">
        <v>44113</v>
      </c>
      <c r="D955" s="4">
        <v>23</v>
      </c>
      <c r="E955" s="6" t="str" cm="1">
        <f t="array" ref="E955">_xlfn.IFS(D955&lt;=5,"Newcomer",AND(D955&gt;=6,D955&lt;=10),"Proficient",D955&gt;10,"Expert")</f>
        <v>Expert</v>
      </c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 t="str" cm="1">
        <f t="array" ref="M955">_xlfn.IFS(L955="Retirement","Voluntary",L955="Resignation","Voluntary",L955="Layoff","InVoluntary")</f>
        <v>InVoluntary</v>
      </c>
      <c r="N955" s="4" t="s">
        <v>26</v>
      </c>
      <c r="O955" s="41"/>
      <c r="P955">
        <v>1</v>
      </c>
      <c r="Q955" t="s">
        <v>174</v>
      </c>
    </row>
    <row r="956" spans="1:17" x14ac:dyDescent="0.35">
      <c r="A956" s="4">
        <v>4926</v>
      </c>
      <c r="B956" s="5">
        <v>36596</v>
      </c>
      <c r="C956" s="5">
        <v>43937</v>
      </c>
      <c r="D956" s="4">
        <v>20</v>
      </c>
      <c r="E956" s="6" t="str" cm="1">
        <f t="array" ref="E956">_xlfn.IFS(D956&lt;=5,"Newcomer",AND(D956&gt;=6,D956&lt;=10),"Proficient",D956&gt;10,"Expert")</f>
        <v>Expert</v>
      </c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 t="str" cm="1">
        <f t="array" ref="M956">_xlfn.IFS(L956="Retirement","Voluntary",L956="Resignation","Voluntary",L956="Layoff","InVoluntary")</f>
        <v>InVoluntary</v>
      </c>
      <c r="N956" s="4" t="s">
        <v>26</v>
      </c>
      <c r="O956" s="41"/>
      <c r="P956">
        <v>1</v>
      </c>
      <c r="Q956" t="s">
        <v>174</v>
      </c>
    </row>
    <row r="957" spans="1:17" x14ac:dyDescent="0.35">
      <c r="A957" s="4">
        <v>4929</v>
      </c>
      <c r="B957" s="5">
        <v>38367</v>
      </c>
      <c r="C957" s="5">
        <v>43977</v>
      </c>
      <c r="D957" s="4">
        <v>15</v>
      </c>
      <c r="E957" s="6" t="str" cm="1">
        <f t="array" ref="E957">_xlfn.IFS(D957&lt;=5,"Newcomer",AND(D957&gt;=6,D957&lt;=10),"Proficient",D957&gt;10,"Expert")</f>
        <v>Expert</v>
      </c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 t="str" cm="1">
        <f t="array" ref="M957">_xlfn.IFS(L957="Retirement","Voluntary",L957="Resignation","Voluntary",L957="Layoff","InVoluntary")</f>
        <v>InVoluntary</v>
      </c>
      <c r="N957" s="4" t="s">
        <v>26</v>
      </c>
      <c r="O957" s="41"/>
      <c r="P957">
        <v>1</v>
      </c>
      <c r="Q957" t="s">
        <v>174</v>
      </c>
    </row>
    <row r="958" spans="1:17" x14ac:dyDescent="0.35">
      <c r="A958" s="4">
        <v>4932</v>
      </c>
      <c r="B958" s="5">
        <v>41108</v>
      </c>
      <c r="C958" s="5">
        <v>43902</v>
      </c>
      <c r="D958" s="4">
        <v>8</v>
      </c>
      <c r="E958" s="6" t="str" cm="1">
        <f t="array" ref="E958">_xlfn.IFS(D958&lt;=5,"Newcomer",AND(D958&gt;=6,D958&lt;=10),"Proficient",D958&gt;10,"Expert")</f>
        <v>Proficient</v>
      </c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 t="str" cm="1">
        <f t="array" ref="M958">_xlfn.IFS(L958="Retirement","Voluntary",L958="Resignation","Voluntary",L958="Layoff","InVoluntary")</f>
        <v>Voluntary</v>
      </c>
      <c r="N958" s="4" t="s">
        <v>26</v>
      </c>
      <c r="O958" s="41"/>
      <c r="P958">
        <v>1</v>
      </c>
      <c r="Q958" t="s">
        <v>173</v>
      </c>
    </row>
    <row r="959" spans="1:17" x14ac:dyDescent="0.35">
      <c r="A959" s="4">
        <v>4941</v>
      </c>
      <c r="B959" s="5">
        <v>41186</v>
      </c>
      <c r="C959" s="5">
        <v>44110</v>
      </c>
      <c r="D959" s="4">
        <v>8</v>
      </c>
      <c r="E959" s="6" t="str" cm="1">
        <f t="array" ref="E959">_xlfn.IFS(D959&lt;=5,"Newcomer",AND(D959&gt;=6,D959&lt;=10),"Proficient",D959&gt;10,"Expert")</f>
        <v>Proficient</v>
      </c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 t="str" cm="1">
        <f t="array" ref="M959">_xlfn.IFS(L959="Retirement","Voluntary",L959="Resignation","Voluntary",L959="Layoff","InVoluntary")</f>
        <v>InVoluntary</v>
      </c>
      <c r="N959" s="4" t="s">
        <v>26</v>
      </c>
      <c r="O959" s="41"/>
      <c r="P959">
        <v>1</v>
      </c>
      <c r="Q959" t="s">
        <v>174</v>
      </c>
    </row>
    <row r="960" spans="1:17" x14ac:dyDescent="0.35">
      <c r="A960" s="4">
        <v>4942</v>
      </c>
      <c r="B960" s="5">
        <v>38327</v>
      </c>
      <c r="C960" s="5">
        <v>44034</v>
      </c>
      <c r="D960" s="4">
        <v>16</v>
      </c>
      <c r="E960" s="6" t="str" cm="1">
        <f t="array" ref="E960">_xlfn.IFS(D960&lt;=5,"Newcomer",AND(D960&gt;=6,D960&lt;=10),"Proficient",D960&gt;10,"Expert")</f>
        <v>Expert</v>
      </c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 t="str" cm="1">
        <f t="array" ref="M960">_xlfn.IFS(L960="Retirement","Voluntary",L960="Resignation","Voluntary",L960="Layoff","InVoluntary")</f>
        <v>Voluntary</v>
      </c>
      <c r="N960" s="4" t="s">
        <v>26</v>
      </c>
      <c r="O960" s="41"/>
      <c r="P960">
        <v>1</v>
      </c>
      <c r="Q960" t="s">
        <v>173</v>
      </c>
    </row>
    <row r="961" spans="1:17" x14ac:dyDescent="0.35">
      <c r="A961" s="4">
        <v>4948</v>
      </c>
      <c r="B961" s="5">
        <v>35626</v>
      </c>
      <c r="C961" s="5">
        <v>44155</v>
      </c>
      <c r="D961" s="4">
        <v>23</v>
      </c>
      <c r="E961" s="6" t="str" cm="1">
        <f t="array" ref="E961">_xlfn.IFS(D961&lt;=5,"Newcomer",AND(D961&gt;=6,D961&lt;=10),"Proficient",D961&gt;10,"Expert")</f>
        <v>Expert</v>
      </c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 t="str" cm="1">
        <f t="array" ref="M961">_xlfn.IFS(L961="Retirement","Voluntary",L961="Resignation","Voluntary",L961="Layoff","InVoluntary")</f>
        <v>InVoluntary</v>
      </c>
      <c r="N961" s="4" t="s">
        <v>26</v>
      </c>
      <c r="O961" s="41"/>
      <c r="P961">
        <v>1</v>
      </c>
      <c r="Q961" t="s">
        <v>174</v>
      </c>
    </row>
    <row r="962" spans="1:17" x14ac:dyDescent="0.35">
      <c r="A962" s="4">
        <v>4949</v>
      </c>
      <c r="B962" s="5">
        <v>37036</v>
      </c>
      <c r="C962" s="5">
        <v>44164</v>
      </c>
      <c r="D962" s="4">
        <v>19</v>
      </c>
      <c r="E962" s="6" t="str" cm="1">
        <f t="array" ref="E962">_xlfn.IFS(D962&lt;=5,"Newcomer",AND(D962&gt;=6,D962&lt;=10),"Proficient",D962&gt;10,"Expert")</f>
        <v>Expert</v>
      </c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 t="str" cm="1">
        <f t="array" ref="M962">_xlfn.IFS(L962="Retirement","Voluntary",L962="Resignation","Voluntary",L962="Layoff","InVoluntary")</f>
        <v>InVoluntary</v>
      </c>
      <c r="N962" s="4" t="s">
        <v>26</v>
      </c>
      <c r="O962" s="41"/>
      <c r="P962">
        <v>1</v>
      </c>
      <c r="Q962" t="s">
        <v>174</v>
      </c>
    </row>
    <row r="963" spans="1:17" x14ac:dyDescent="0.35">
      <c r="A963" s="4">
        <v>4950</v>
      </c>
      <c r="B963" s="5">
        <v>39244</v>
      </c>
      <c r="C963" s="5">
        <v>44195</v>
      </c>
      <c r="D963" s="4">
        <v>13</v>
      </c>
      <c r="E963" s="6" t="str" cm="1">
        <f t="array" ref="E963">_xlfn.IFS(D963&lt;=5,"Newcomer",AND(D963&gt;=6,D963&lt;=10),"Proficient",D963&gt;10,"Expert")</f>
        <v>Expert</v>
      </c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 t="str" cm="1">
        <f t="array" ref="M963">_xlfn.IFS(L963="Retirement","Voluntary",L963="Resignation","Voluntary",L963="Layoff","InVoluntary")</f>
        <v>InVoluntary</v>
      </c>
      <c r="N963" s="4" t="s">
        <v>26</v>
      </c>
      <c r="O963" s="41"/>
      <c r="P963">
        <v>1</v>
      </c>
      <c r="Q963" t="s">
        <v>174</v>
      </c>
    </row>
    <row r="964" spans="1:17" x14ac:dyDescent="0.35">
      <c r="A964" s="4">
        <v>4951</v>
      </c>
      <c r="B964" s="5">
        <v>41096</v>
      </c>
      <c r="C964" s="5">
        <v>44124</v>
      </c>
      <c r="D964" s="4">
        <v>8</v>
      </c>
      <c r="E964" s="6" t="str" cm="1">
        <f t="array" ref="E964">_xlfn.IFS(D964&lt;=5,"Newcomer",AND(D964&gt;=6,D964&lt;=10),"Proficient",D964&gt;10,"Expert")</f>
        <v>Proficient</v>
      </c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 t="str" cm="1">
        <f t="array" ref="M964">_xlfn.IFS(L964="Retirement","Voluntary",L964="Resignation","Voluntary",L964="Layoff","InVoluntary")</f>
        <v>InVoluntary</v>
      </c>
      <c r="N964" s="4" t="s">
        <v>26</v>
      </c>
      <c r="O964" s="41"/>
      <c r="P964">
        <v>1</v>
      </c>
      <c r="Q964" t="s">
        <v>174</v>
      </c>
    </row>
    <row r="965" spans="1:17" x14ac:dyDescent="0.35">
      <c r="A965" s="4">
        <v>4953</v>
      </c>
      <c r="B965" s="5">
        <v>39894</v>
      </c>
      <c r="C965" s="5">
        <v>43989</v>
      </c>
      <c r="D965" s="4">
        <v>11</v>
      </c>
      <c r="E965" s="6" t="str" cm="1">
        <f t="array" ref="E965">_xlfn.IFS(D965&lt;=5,"Newcomer",AND(D965&gt;=6,D965&lt;=10),"Proficient",D965&gt;10,"Expert")</f>
        <v>Expert</v>
      </c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 t="str" cm="1">
        <f t="array" ref="M965">_xlfn.IFS(L965="Retirement","Voluntary",L965="Resignation","Voluntary",L965="Layoff","InVoluntary")</f>
        <v>InVoluntary</v>
      </c>
      <c r="N965" s="4" t="s">
        <v>26</v>
      </c>
      <c r="O965" s="41"/>
      <c r="P965">
        <v>1</v>
      </c>
      <c r="Q965" t="s">
        <v>174</v>
      </c>
    </row>
    <row r="966" spans="1:17" x14ac:dyDescent="0.35">
      <c r="A966" s="4">
        <v>4955</v>
      </c>
      <c r="B966" s="5">
        <v>37737</v>
      </c>
      <c r="C966" s="5">
        <v>44050</v>
      </c>
      <c r="D966" s="4">
        <v>17</v>
      </c>
      <c r="E966" s="6" t="str" cm="1">
        <f t="array" ref="E966">_xlfn.IFS(D966&lt;=5,"Newcomer",AND(D966&gt;=6,D966&lt;=10),"Proficient",D966&gt;10,"Expert")</f>
        <v>Expert</v>
      </c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 t="str" cm="1">
        <f t="array" ref="M966">_xlfn.IFS(L966="Retirement","Voluntary",L966="Resignation","Voluntary",L966="Layoff","InVoluntary")</f>
        <v>InVoluntary</v>
      </c>
      <c r="N966" s="4" t="s">
        <v>26</v>
      </c>
      <c r="O966" s="41"/>
      <c r="P966">
        <v>1</v>
      </c>
      <c r="Q966" t="s">
        <v>174</v>
      </c>
    </row>
    <row r="967" spans="1:17" x14ac:dyDescent="0.35">
      <c r="A967" s="4">
        <v>4958</v>
      </c>
      <c r="B967" s="5">
        <v>40926</v>
      </c>
      <c r="C967" s="5">
        <v>44081</v>
      </c>
      <c r="D967" s="4">
        <v>8</v>
      </c>
      <c r="E967" s="6" t="str" cm="1">
        <f t="array" ref="E967">_xlfn.IFS(D967&lt;=5,"Newcomer",AND(D967&gt;=6,D967&lt;=10),"Proficient",D967&gt;10,"Expert")</f>
        <v>Proficient</v>
      </c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 t="str" cm="1">
        <f t="array" ref="M967">_xlfn.IFS(L967="Retirement","Voluntary",L967="Resignation","Voluntary",L967="Layoff","InVoluntary")</f>
        <v>InVoluntary</v>
      </c>
      <c r="N967" s="4" t="s">
        <v>26</v>
      </c>
      <c r="O967" s="41"/>
      <c r="P967">
        <v>1</v>
      </c>
      <c r="Q967" t="s">
        <v>174</v>
      </c>
    </row>
    <row r="968" spans="1:17" x14ac:dyDescent="0.35">
      <c r="A968" s="4">
        <v>4960</v>
      </c>
      <c r="B968" s="5">
        <v>38228</v>
      </c>
      <c r="C968" s="5">
        <v>44131</v>
      </c>
      <c r="D968" s="4">
        <v>16</v>
      </c>
      <c r="E968" s="6" t="str" cm="1">
        <f t="array" ref="E968">_xlfn.IFS(D968&lt;=5,"Newcomer",AND(D968&gt;=6,D968&lt;=10),"Proficient",D968&gt;10,"Expert")</f>
        <v>Expert</v>
      </c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 t="str" cm="1">
        <f t="array" ref="M968">_xlfn.IFS(L968="Retirement","Voluntary",L968="Resignation","Voluntary",L968="Layoff","InVoluntary")</f>
        <v>InVoluntary</v>
      </c>
      <c r="N968" s="4" t="s">
        <v>26</v>
      </c>
      <c r="O968" s="41"/>
      <c r="P968">
        <v>1</v>
      </c>
      <c r="Q968" t="s">
        <v>174</v>
      </c>
    </row>
    <row r="969" spans="1:17" x14ac:dyDescent="0.35">
      <c r="A969" s="4">
        <v>4964</v>
      </c>
      <c r="B969" s="5">
        <v>35699</v>
      </c>
      <c r="C969" s="5">
        <v>43945</v>
      </c>
      <c r="D969" s="4">
        <v>23</v>
      </c>
      <c r="E969" s="6" t="str" cm="1">
        <f t="array" ref="E969">_xlfn.IFS(D969&lt;=5,"Newcomer",AND(D969&gt;=6,D969&lt;=10),"Proficient",D969&gt;10,"Expert")</f>
        <v>Expert</v>
      </c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 t="str" cm="1">
        <f t="array" ref="M969">_xlfn.IFS(L969="Retirement","Voluntary",L969="Resignation","Voluntary",L969="Layoff","InVoluntary")</f>
        <v>InVoluntary</v>
      </c>
      <c r="N969" s="4" t="s">
        <v>26</v>
      </c>
      <c r="O969" s="41"/>
      <c r="P969">
        <v>1</v>
      </c>
      <c r="Q969" t="s">
        <v>174</v>
      </c>
    </row>
    <row r="970" spans="1:17" x14ac:dyDescent="0.35">
      <c r="A970" s="4">
        <v>4965</v>
      </c>
      <c r="B970" s="5">
        <v>36621</v>
      </c>
      <c r="C970" s="5">
        <v>43965</v>
      </c>
      <c r="D970" s="4">
        <v>20</v>
      </c>
      <c r="E970" s="6" t="str" cm="1">
        <f t="array" ref="E970">_xlfn.IFS(D970&lt;=5,"Newcomer",AND(D970&gt;=6,D970&lt;=10),"Proficient",D970&gt;10,"Expert")</f>
        <v>Expert</v>
      </c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 t="str" cm="1">
        <f t="array" ref="M970">_xlfn.IFS(L970="Retirement","Voluntary",L970="Resignation","Voluntary",L970="Layoff","InVoluntary")</f>
        <v>InVoluntary</v>
      </c>
      <c r="N970" s="4" t="s">
        <v>26</v>
      </c>
      <c r="O970" s="41"/>
      <c r="P970">
        <v>1</v>
      </c>
      <c r="Q970" t="s">
        <v>174</v>
      </c>
    </row>
    <row r="971" spans="1:17" x14ac:dyDescent="0.35">
      <c r="A971" s="4">
        <v>4972</v>
      </c>
      <c r="B971" s="5">
        <v>38134</v>
      </c>
      <c r="C971" s="5">
        <v>44024</v>
      </c>
      <c r="D971" s="4">
        <v>16</v>
      </c>
      <c r="E971" s="6" t="str" cm="1">
        <f t="array" ref="E971">_xlfn.IFS(D971&lt;=5,"Newcomer",AND(D971&gt;=6,D971&lt;=10),"Proficient",D971&gt;10,"Expert")</f>
        <v>Expert</v>
      </c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 t="str" cm="1">
        <f t="array" ref="M971">_xlfn.IFS(L971="Retirement","Voluntary",L971="Resignation","Voluntary",L971="Layoff","InVoluntary")</f>
        <v>InVoluntary</v>
      </c>
      <c r="N971" s="4" t="s">
        <v>26</v>
      </c>
      <c r="O971" s="41"/>
      <c r="P971">
        <v>1</v>
      </c>
      <c r="Q971" t="s">
        <v>174</v>
      </c>
    </row>
    <row r="972" spans="1:17" x14ac:dyDescent="0.35">
      <c r="A972" s="4">
        <v>4974</v>
      </c>
      <c r="B972" s="5">
        <v>42132</v>
      </c>
      <c r="C972" s="5">
        <v>44018</v>
      </c>
      <c r="D972" s="4">
        <v>5</v>
      </c>
      <c r="E972" s="6" t="str" cm="1">
        <f t="array" ref="E972">_xlfn.IFS(D972&lt;=5,"Newcomer",AND(D972&gt;=6,D972&lt;=10),"Proficient",D972&gt;10,"Expert")</f>
        <v>Newcomer</v>
      </c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 t="str" cm="1">
        <f t="array" ref="M972">_xlfn.IFS(L972="Retirement","Voluntary",L972="Resignation","Voluntary",L972="Layoff","InVoluntary")</f>
        <v>InVoluntary</v>
      </c>
      <c r="N972" s="4" t="s">
        <v>26</v>
      </c>
      <c r="O972" s="41"/>
      <c r="P972">
        <v>1</v>
      </c>
      <c r="Q972" t="s">
        <v>174</v>
      </c>
    </row>
    <row r="973" spans="1:17" x14ac:dyDescent="0.35">
      <c r="A973" s="4">
        <v>4975</v>
      </c>
      <c r="B973" s="5">
        <v>42115</v>
      </c>
      <c r="C973" s="5">
        <v>43889</v>
      </c>
      <c r="D973" s="4">
        <v>5</v>
      </c>
      <c r="E973" s="6" t="str" cm="1">
        <f t="array" ref="E973">_xlfn.IFS(D973&lt;=5,"Newcomer",AND(D973&gt;=6,D973&lt;=10),"Proficient",D973&gt;10,"Expert")</f>
        <v>Newcomer</v>
      </c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 t="str" cm="1">
        <f t="array" ref="M973">_xlfn.IFS(L973="Retirement","Voluntary",L973="Resignation","Voluntary",L973="Layoff","InVoluntary")</f>
        <v>InVoluntary</v>
      </c>
      <c r="N973" s="4" t="s">
        <v>26</v>
      </c>
      <c r="O973" s="41"/>
      <c r="P973">
        <v>1</v>
      </c>
      <c r="Q973" t="s">
        <v>174</v>
      </c>
    </row>
    <row r="974" spans="1:17" x14ac:dyDescent="0.35">
      <c r="A974" s="4">
        <v>4980</v>
      </c>
      <c r="B974" s="5">
        <v>40790</v>
      </c>
      <c r="C974" s="5">
        <v>44095</v>
      </c>
      <c r="D974" s="4">
        <v>9</v>
      </c>
      <c r="E974" s="6" t="str" cm="1">
        <f t="array" ref="E974">_xlfn.IFS(D974&lt;=5,"Newcomer",AND(D974&gt;=6,D974&lt;=10),"Proficient",D974&gt;10,"Expert")</f>
        <v>Proficient</v>
      </c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 t="str" cm="1">
        <f t="array" ref="M974">_xlfn.IFS(L974="Retirement","Voluntary",L974="Resignation","Voluntary",L974="Layoff","InVoluntary")</f>
        <v>Voluntary</v>
      </c>
      <c r="N974" s="4" t="s">
        <v>26</v>
      </c>
      <c r="O974" s="41"/>
      <c r="P974">
        <v>1</v>
      </c>
      <c r="Q974" t="s">
        <v>173</v>
      </c>
    </row>
    <row r="975" spans="1:17" x14ac:dyDescent="0.35">
      <c r="A975" s="4">
        <v>4981</v>
      </c>
      <c r="B975" s="5">
        <v>39691</v>
      </c>
      <c r="C975" s="5">
        <v>44194</v>
      </c>
      <c r="D975" s="4">
        <v>12</v>
      </c>
      <c r="E975" s="6" t="str" cm="1">
        <f t="array" ref="E975">_xlfn.IFS(D975&lt;=5,"Newcomer",AND(D975&gt;=6,D975&lt;=10),"Proficient",D975&gt;10,"Expert")</f>
        <v>Expert</v>
      </c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 t="str" cm="1">
        <f t="array" ref="M975">_xlfn.IFS(L975="Retirement","Voluntary",L975="Resignation","Voluntary",L975="Layoff","InVoluntary")</f>
        <v>InVoluntary</v>
      </c>
      <c r="N975" s="4" t="s">
        <v>26</v>
      </c>
      <c r="O975" s="41"/>
      <c r="P975">
        <v>1</v>
      </c>
      <c r="Q975" t="s">
        <v>174</v>
      </c>
    </row>
    <row r="976" spans="1:17" x14ac:dyDescent="0.35">
      <c r="A976" s="4">
        <v>4983</v>
      </c>
      <c r="B976" s="5">
        <v>34536</v>
      </c>
      <c r="C976" s="5">
        <v>43860</v>
      </c>
      <c r="D976" s="4">
        <v>26</v>
      </c>
      <c r="E976" s="6" t="str" cm="1">
        <f t="array" ref="E976">_xlfn.IFS(D976&lt;=5,"Newcomer",AND(D976&gt;=6,D976&lt;=10),"Proficient",D976&gt;10,"Expert")</f>
        <v>Expert</v>
      </c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 t="str" cm="1">
        <f t="array" ref="M976">_xlfn.IFS(L976="Retirement","Voluntary",L976="Resignation","Voluntary",L976="Layoff","InVoluntary")</f>
        <v>InVoluntary</v>
      </c>
      <c r="N976" s="4" t="s">
        <v>26</v>
      </c>
      <c r="O976" s="41"/>
      <c r="P976">
        <v>1</v>
      </c>
      <c r="Q976" t="s">
        <v>174</v>
      </c>
    </row>
    <row r="977" spans="1:17" x14ac:dyDescent="0.35">
      <c r="A977" s="4">
        <v>4991</v>
      </c>
      <c r="B977" s="5">
        <v>36846</v>
      </c>
      <c r="C977" s="5">
        <v>43885</v>
      </c>
      <c r="D977" s="4">
        <v>20</v>
      </c>
      <c r="E977" s="6" t="str" cm="1">
        <f t="array" ref="E977">_xlfn.IFS(D977&lt;=5,"Newcomer",AND(D977&gt;=6,D977&lt;=10),"Proficient",D977&gt;10,"Expert")</f>
        <v>Expert</v>
      </c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 t="str" cm="1">
        <f t="array" ref="M977">_xlfn.IFS(L977="Retirement","Voluntary",L977="Resignation","Voluntary",L977="Layoff","InVoluntary")</f>
        <v>InVoluntary</v>
      </c>
      <c r="N977" s="4" t="s">
        <v>26</v>
      </c>
      <c r="O977" s="41"/>
      <c r="P977">
        <v>1</v>
      </c>
      <c r="Q977" t="s">
        <v>174</v>
      </c>
    </row>
    <row r="978" spans="1:17" x14ac:dyDescent="0.35">
      <c r="A978" s="4">
        <v>4995</v>
      </c>
      <c r="B978" s="5">
        <v>34458</v>
      </c>
      <c r="C978" s="5">
        <v>43965</v>
      </c>
      <c r="D978" s="4">
        <v>26</v>
      </c>
      <c r="E978" s="6" t="str" cm="1">
        <f t="array" ref="E978">_xlfn.IFS(D978&lt;=5,"Newcomer",AND(D978&gt;=6,D978&lt;=10),"Proficient",D978&gt;10,"Expert")</f>
        <v>Expert</v>
      </c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 t="str" cm="1">
        <f t="array" ref="M978">_xlfn.IFS(L978="Retirement","Voluntary",L978="Resignation","Voluntary",L978="Layoff","InVoluntary")</f>
        <v>InVoluntary</v>
      </c>
      <c r="N978" s="4" t="s">
        <v>26</v>
      </c>
      <c r="O978" s="41"/>
      <c r="P978">
        <v>1</v>
      </c>
      <c r="Q978" t="s">
        <v>174</v>
      </c>
    </row>
    <row r="979" spans="1:17" x14ac:dyDescent="0.35">
      <c r="A979" s="4">
        <v>4999</v>
      </c>
      <c r="B979" s="5">
        <v>39337</v>
      </c>
      <c r="C979" s="5">
        <v>44129</v>
      </c>
      <c r="D979" s="4">
        <v>13</v>
      </c>
      <c r="E979" s="6" t="str" cm="1">
        <f t="array" ref="E979">_xlfn.IFS(D979&lt;=5,"Newcomer",AND(D979&gt;=6,D979&lt;=10),"Proficient",D979&gt;10,"Expert")</f>
        <v>Expert</v>
      </c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 t="str" cm="1">
        <f t="array" ref="M979">_xlfn.IFS(L979="Retirement","Voluntary",L979="Resignation","Voluntary",L979="Layoff","InVoluntary")</f>
        <v>InVoluntary</v>
      </c>
      <c r="N979" s="4" t="s">
        <v>26</v>
      </c>
      <c r="O979" s="41"/>
      <c r="P979">
        <v>1</v>
      </c>
      <c r="Q979" t="s">
        <v>174</v>
      </c>
    </row>
    <row r="980" spans="1:17" x14ac:dyDescent="0.35">
      <c r="A980" s="4">
        <v>5000</v>
      </c>
      <c r="B980" s="5">
        <v>40567</v>
      </c>
      <c r="C980" s="5">
        <v>44084</v>
      </c>
      <c r="D980" s="4">
        <v>9</v>
      </c>
      <c r="E980" s="6" t="str" cm="1">
        <f t="array" ref="E980">_xlfn.IFS(D980&lt;=5,"Newcomer",AND(D980&gt;=6,D980&lt;=10),"Proficient",D980&gt;10,"Expert")</f>
        <v>Proficient</v>
      </c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 t="str" cm="1">
        <f t="array" ref="M980">_xlfn.IFS(L980="Retirement","Voluntary",L980="Resignation","Voluntary",L980="Layoff","InVoluntary")</f>
        <v>InVoluntary</v>
      </c>
      <c r="N980" s="4" t="s">
        <v>26</v>
      </c>
      <c r="O980" s="41"/>
      <c r="P980">
        <v>1</v>
      </c>
      <c r="Q980" t="s">
        <v>174</v>
      </c>
    </row>
    <row r="981" spans="1:17" x14ac:dyDescent="0.35">
      <c r="A981" s="4">
        <v>5001</v>
      </c>
      <c r="B981" s="5">
        <v>40482</v>
      </c>
      <c r="C981" s="5">
        <v>44119</v>
      </c>
      <c r="D981" s="4">
        <v>10</v>
      </c>
      <c r="E981" s="6" t="str" cm="1">
        <f t="array" ref="E981">_xlfn.IFS(D981&lt;=5,"Newcomer",AND(D981&gt;=6,D981&lt;=10),"Proficient",D981&gt;10,"Expert")</f>
        <v>Proficient</v>
      </c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 t="str" cm="1">
        <f t="array" ref="M981">_xlfn.IFS(L981="Retirement","Voluntary",L981="Resignation","Voluntary",L981="Layoff","InVoluntary")</f>
        <v>InVoluntary</v>
      </c>
      <c r="N981" s="4" t="s">
        <v>26</v>
      </c>
      <c r="O981" s="41"/>
      <c r="P981">
        <v>1</v>
      </c>
      <c r="Q981" t="s">
        <v>174</v>
      </c>
    </row>
    <row r="982" spans="1:17" x14ac:dyDescent="0.35">
      <c r="A982" s="4">
        <v>5002</v>
      </c>
      <c r="B982" s="5">
        <v>38932</v>
      </c>
      <c r="C982" s="5">
        <v>43849</v>
      </c>
      <c r="D982" s="4">
        <v>14</v>
      </c>
      <c r="E982" s="6" t="str" cm="1">
        <f t="array" ref="E982">_xlfn.IFS(D982&lt;=5,"Newcomer",AND(D982&gt;=6,D982&lt;=10),"Proficient",D982&gt;10,"Expert")</f>
        <v>Expert</v>
      </c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 t="str" cm="1">
        <f t="array" ref="M982">_xlfn.IFS(L982="Retirement","Voluntary",L982="Resignation","Voluntary",L982="Layoff","InVoluntary")</f>
        <v>InVoluntary</v>
      </c>
      <c r="N982" s="4" t="s">
        <v>26</v>
      </c>
      <c r="O982" s="41"/>
      <c r="P982">
        <v>1</v>
      </c>
      <c r="Q982" t="s">
        <v>174</v>
      </c>
    </row>
    <row r="983" spans="1:17" x14ac:dyDescent="0.35">
      <c r="A983" s="4">
        <v>5004</v>
      </c>
      <c r="B983" s="5">
        <v>39440</v>
      </c>
      <c r="C983" s="5">
        <v>44175</v>
      </c>
      <c r="D983" s="4">
        <v>13</v>
      </c>
      <c r="E983" s="6" t="str" cm="1">
        <f t="array" ref="E983">_xlfn.IFS(D983&lt;=5,"Newcomer",AND(D983&gt;=6,D983&lt;=10),"Proficient",D983&gt;10,"Expert")</f>
        <v>Expert</v>
      </c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 t="str" cm="1">
        <f t="array" ref="M983">_xlfn.IFS(L983="Retirement","Voluntary",L983="Resignation","Voluntary",L983="Layoff","InVoluntary")</f>
        <v>InVoluntary</v>
      </c>
      <c r="N983" s="4" t="s">
        <v>26</v>
      </c>
      <c r="O983" s="41"/>
      <c r="P983">
        <v>1</v>
      </c>
      <c r="Q983" t="s">
        <v>174</v>
      </c>
    </row>
    <row r="984" spans="1:17" x14ac:dyDescent="0.35">
      <c r="A984" s="4">
        <v>5005</v>
      </c>
      <c r="B984" s="5">
        <v>34815</v>
      </c>
      <c r="C984" s="5">
        <v>44052</v>
      </c>
      <c r="D984" s="4">
        <v>25</v>
      </c>
      <c r="E984" s="6" t="str" cm="1">
        <f t="array" ref="E984">_xlfn.IFS(D984&lt;=5,"Newcomer",AND(D984&gt;=6,D984&lt;=10),"Proficient",D984&gt;10,"Expert")</f>
        <v>Expert</v>
      </c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 t="str" cm="1">
        <f t="array" ref="M984">_xlfn.IFS(L984="Retirement","Voluntary",L984="Resignation","Voluntary",L984="Layoff","InVoluntary")</f>
        <v>InVoluntary</v>
      </c>
      <c r="N984" s="4" t="s">
        <v>26</v>
      </c>
      <c r="O984" s="41"/>
      <c r="P984">
        <v>1</v>
      </c>
      <c r="Q984" t="s">
        <v>174</v>
      </c>
    </row>
    <row r="985" spans="1:17" x14ac:dyDescent="0.35">
      <c r="A985" s="4">
        <v>5006</v>
      </c>
      <c r="B985" s="5">
        <v>36500</v>
      </c>
      <c r="C985" s="5">
        <v>43888</v>
      </c>
      <c r="D985" s="4">
        <v>21</v>
      </c>
      <c r="E985" s="6" t="str" cm="1">
        <f t="array" ref="E985">_xlfn.IFS(D985&lt;=5,"Newcomer",AND(D985&gt;=6,D985&lt;=10),"Proficient",D985&gt;10,"Expert")</f>
        <v>Expert</v>
      </c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 t="str" cm="1">
        <f t="array" ref="M985">_xlfn.IFS(L985="Retirement","Voluntary",L985="Resignation","Voluntary",L985="Layoff","InVoluntary")</f>
        <v>InVoluntary</v>
      </c>
      <c r="N985" s="4" t="s">
        <v>26</v>
      </c>
      <c r="O985" s="41"/>
      <c r="P985">
        <v>1</v>
      </c>
      <c r="Q985" t="s">
        <v>174</v>
      </c>
    </row>
    <row r="986" spans="1:17" x14ac:dyDescent="0.35">
      <c r="A986" s="4">
        <v>5007</v>
      </c>
      <c r="B986" s="5">
        <v>36398</v>
      </c>
      <c r="C986" s="5">
        <v>43859</v>
      </c>
      <c r="D986" s="4">
        <v>21</v>
      </c>
      <c r="E986" s="6" t="str" cm="1">
        <f t="array" ref="E986">_xlfn.IFS(D986&lt;=5,"Newcomer",AND(D986&gt;=6,D986&lt;=10),"Proficient",D986&gt;10,"Expert")</f>
        <v>Expert</v>
      </c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 t="str" cm="1">
        <f t="array" ref="M986">_xlfn.IFS(L986="Retirement","Voluntary",L986="Resignation","Voluntary",L986="Layoff","InVoluntary")</f>
        <v>InVoluntary</v>
      </c>
      <c r="N986" s="4" t="s">
        <v>26</v>
      </c>
      <c r="O986" s="41"/>
      <c r="P986">
        <v>1</v>
      </c>
      <c r="Q986" t="s">
        <v>174</v>
      </c>
    </row>
    <row r="987" spans="1:17" x14ac:dyDescent="0.35">
      <c r="A987" s="4">
        <v>5008</v>
      </c>
      <c r="B987" s="5">
        <v>40168</v>
      </c>
      <c r="C987" s="5">
        <v>43991</v>
      </c>
      <c r="D987" s="4">
        <v>11</v>
      </c>
      <c r="E987" s="6" t="str" cm="1">
        <f t="array" ref="E987">_xlfn.IFS(D987&lt;=5,"Newcomer",AND(D987&gt;=6,D987&lt;=10),"Proficient",D987&gt;10,"Expert")</f>
        <v>Expert</v>
      </c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 t="str" cm="1">
        <f t="array" ref="M987">_xlfn.IFS(L987="Retirement","Voluntary",L987="Resignation","Voluntary",L987="Layoff","InVoluntary")</f>
        <v>InVoluntary</v>
      </c>
      <c r="N987" s="4" t="s">
        <v>26</v>
      </c>
      <c r="O987" s="41"/>
      <c r="P987">
        <v>1</v>
      </c>
      <c r="Q987" t="s">
        <v>174</v>
      </c>
    </row>
    <row r="988" spans="1:17" x14ac:dyDescent="0.35">
      <c r="A988" s="4">
        <v>5011</v>
      </c>
      <c r="B988" s="5">
        <v>38477</v>
      </c>
      <c r="C988" s="5">
        <v>44165</v>
      </c>
      <c r="D988" s="4">
        <v>15</v>
      </c>
      <c r="E988" s="6" t="str" cm="1">
        <f t="array" ref="E988">_xlfn.IFS(D988&lt;=5,"Newcomer",AND(D988&gt;=6,D988&lt;=10),"Proficient",D988&gt;10,"Expert")</f>
        <v>Expert</v>
      </c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 t="str" cm="1">
        <f t="array" ref="M988">_xlfn.IFS(L988="Retirement","Voluntary",L988="Resignation","Voluntary",L988="Layoff","InVoluntary")</f>
        <v>InVoluntary</v>
      </c>
      <c r="N988" s="4" t="s">
        <v>26</v>
      </c>
      <c r="O988" s="41"/>
      <c r="P988">
        <v>1</v>
      </c>
      <c r="Q988" t="s">
        <v>174</v>
      </c>
    </row>
    <row r="989" spans="1:17" x14ac:dyDescent="0.35">
      <c r="A989" s="4">
        <v>5012</v>
      </c>
      <c r="B989" s="5">
        <v>40300</v>
      </c>
      <c r="C989" s="5">
        <v>43946</v>
      </c>
      <c r="D989" s="4">
        <v>10</v>
      </c>
      <c r="E989" s="6" t="str" cm="1">
        <f t="array" ref="E989">_xlfn.IFS(D989&lt;=5,"Newcomer",AND(D989&gt;=6,D989&lt;=10),"Proficient",D989&gt;10,"Expert")</f>
        <v>Proficient</v>
      </c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 t="str" cm="1">
        <f t="array" ref="M989">_xlfn.IFS(L989="Retirement","Voluntary",L989="Resignation","Voluntary",L989="Layoff","InVoluntary")</f>
        <v>InVoluntary</v>
      </c>
      <c r="N989" s="4" t="s">
        <v>26</v>
      </c>
      <c r="O989" s="41"/>
      <c r="P989">
        <v>1</v>
      </c>
      <c r="Q989" t="s">
        <v>174</v>
      </c>
    </row>
    <row r="990" spans="1:17" x14ac:dyDescent="0.35">
      <c r="A990" s="4">
        <v>5013</v>
      </c>
      <c r="B990" s="5">
        <v>33456</v>
      </c>
      <c r="C990" s="5">
        <v>44127</v>
      </c>
      <c r="D990" s="4">
        <v>29</v>
      </c>
      <c r="E990" s="6" t="str" cm="1">
        <f t="array" ref="E990">_xlfn.IFS(D990&lt;=5,"Newcomer",AND(D990&gt;=6,D990&lt;=10),"Proficient",D990&gt;10,"Expert")</f>
        <v>Expert</v>
      </c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 t="str" cm="1">
        <f t="array" ref="M990">_xlfn.IFS(L990="Retirement","Voluntary",L990="Resignation","Voluntary",L990="Layoff","InVoluntary")</f>
        <v>InVoluntary</v>
      </c>
      <c r="N990" s="4" t="s">
        <v>26</v>
      </c>
      <c r="O990" s="41"/>
      <c r="P990">
        <v>1</v>
      </c>
      <c r="Q990" t="s">
        <v>174</v>
      </c>
    </row>
    <row r="991" spans="1:17" x14ac:dyDescent="0.35">
      <c r="A991" s="4">
        <v>5014</v>
      </c>
      <c r="B991" s="5">
        <v>33508</v>
      </c>
      <c r="C991" s="5">
        <v>44051</v>
      </c>
      <c r="D991" s="4">
        <v>29</v>
      </c>
      <c r="E991" s="6" t="str" cm="1">
        <f t="array" ref="E991">_xlfn.IFS(D991&lt;=5,"Newcomer",AND(D991&gt;=6,D991&lt;=10),"Proficient",D991&gt;10,"Expert")</f>
        <v>Expert</v>
      </c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 t="str" cm="1">
        <f t="array" ref="M991">_xlfn.IFS(L991="Retirement","Voluntary",L991="Resignation","Voluntary",L991="Layoff","InVoluntary")</f>
        <v>InVoluntary</v>
      </c>
      <c r="N991" s="4" t="s">
        <v>26</v>
      </c>
      <c r="O991" s="41"/>
      <c r="P991">
        <v>1</v>
      </c>
      <c r="Q991" t="s">
        <v>174</v>
      </c>
    </row>
    <row r="992" spans="1:17" x14ac:dyDescent="0.35">
      <c r="A992" s="4">
        <v>5015</v>
      </c>
      <c r="B992" s="5">
        <v>41552</v>
      </c>
      <c r="C992" s="5">
        <v>43900</v>
      </c>
      <c r="D992" s="4">
        <v>7</v>
      </c>
      <c r="E992" s="6" t="str" cm="1">
        <f t="array" ref="E992">_xlfn.IFS(D992&lt;=5,"Newcomer",AND(D992&gt;=6,D992&lt;=10),"Proficient",D992&gt;10,"Expert")</f>
        <v>Proficient</v>
      </c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 t="str" cm="1">
        <f t="array" ref="M992">_xlfn.IFS(L992="Retirement","Voluntary",L992="Resignation","Voluntary",L992="Layoff","InVoluntary")</f>
        <v>InVoluntary</v>
      </c>
      <c r="N992" s="4" t="s">
        <v>26</v>
      </c>
      <c r="O992" s="41"/>
      <c r="P992">
        <v>1</v>
      </c>
      <c r="Q992" t="s">
        <v>174</v>
      </c>
    </row>
    <row r="993" spans="1:17" x14ac:dyDescent="0.35">
      <c r="A993" s="4">
        <v>5018</v>
      </c>
      <c r="B993" s="5">
        <v>39599</v>
      </c>
      <c r="C993" s="5">
        <v>43876</v>
      </c>
      <c r="D993" s="4">
        <v>12</v>
      </c>
      <c r="E993" s="6" t="str" cm="1">
        <f t="array" ref="E993">_xlfn.IFS(D993&lt;=5,"Newcomer",AND(D993&gt;=6,D993&lt;=10),"Proficient",D993&gt;10,"Expert")</f>
        <v>Expert</v>
      </c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 t="str" cm="1">
        <f t="array" ref="M993">_xlfn.IFS(L993="Retirement","Voluntary",L993="Resignation","Voluntary",L993="Layoff","InVoluntary")</f>
        <v>InVoluntary</v>
      </c>
      <c r="N993" s="4" t="s">
        <v>26</v>
      </c>
      <c r="O993" s="41"/>
      <c r="P993">
        <v>1</v>
      </c>
      <c r="Q993" t="s">
        <v>174</v>
      </c>
    </row>
    <row r="994" spans="1:17" x14ac:dyDescent="0.35">
      <c r="A994" s="4">
        <v>5020</v>
      </c>
      <c r="B994" s="5">
        <v>34330</v>
      </c>
      <c r="C994" s="5">
        <v>43831</v>
      </c>
      <c r="D994" s="4">
        <v>27</v>
      </c>
      <c r="E994" s="6" t="str" cm="1">
        <f t="array" ref="E994">_xlfn.IFS(D994&lt;=5,"Newcomer",AND(D994&gt;=6,D994&lt;=10),"Proficient",D994&gt;10,"Expert")</f>
        <v>Expert</v>
      </c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 t="str" cm="1">
        <f t="array" ref="M994">_xlfn.IFS(L994="Retirement","Voluntary",L994="Resignation","Voluntary",L994="Layoff","InVoluntary")</f>
        <v>InVoluntary</v>
      </c>
      <c r="N994" s="4" t="s">
        <v>26</v>
      </c>
      <c r="O994" s="41"/>
      <c r="P994">
        <v>1</v>
      </c>
      <c r="Q994" t="s">
        <v>174</v>
      </c>
    </row>
    <row r="995" spans="1:17" x14ac:dyDescent="0.35">
      <c r="A995" s="4">
        <v>5021</v>
      </c>
      <c r="B995" s="5">
        <v>38270</v>
      </c>
      <c r="C995" s="5">
        <v>44045</v>
      </c>
      <c r="D995" s="4">
        <v>16</v>
      </c>
      <c r="E995" s="6" t="str" cm="1">
        <f t="array" ref="E995">_xlfn.IFS(D995&lt;=5,"Newcomer",AND(D995&gt;=6,D995&lt;=10),"Proficient",D995&gt;10,"Expert")</f>
        <v>Expert</v>
      </c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 t="str" cm="1">
        <f t="array" ref="M995">_xlfn.IFS(L995="Retirement","Voluntary",L995="Resignation","Voluntary",L995="Layoff","InVoluntary")</f>
        <v>InVoluntary</v>
      </c>
      <c r="N995" s="4" t="s">
        <v>26</v>
      </c>
      <c r="O995" s="41"/>
      <c r="P995">
        <v>1</v>
      </c>
      <c r="Q995" t="s">
        <v>174</v>
      </c>
    </row>
    <row r="996" spans="1:17" x14ac:dyDescent="0.35">
      <c r="A996" s="4">
        <v>5025</v>
      </c>
      <c r="B996" s="5">
        <v>34964</v>
      </c>
      <c r="C996" s="5">
        <v>43861</v>
      </c>
      <c r="D996" s="4">
        <v>25</v>
      </c>
      <c r="E996" s="6" t="str" cm="1">
        <f t="array" ref="E996">_xlfn.IFS(D996&lt;=5,"Newcomer",AND(D996&gt;=6,D996&lt;=10),"Proficient",D996&gt;10,"Expert")</f>
        <v>Expert</v>
      </c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 t="str" cm="1">
        <f t="array" ref="M996">_xlfn.IFS(L996="Retirement","Voluntary",L996="Resignation","Voluntary",L996="Layoff","InVoluntary")</f>
        <v>InVoluntary</v>
      </c>
      <c r="N996" s="4" t="s">
        <v>26</v>
      </c>
      <c r="O996" s="41"/>
      <c r="P996">
        <v>1</v>
      </c>
      <c r="Q996" t="s">
        <v>174</v>
      </c>
    </row>
    <row r="997" spans="1:17" x14ac:dyDescent="0.35">
      <c r="A997" s="4">
        <v>5028</v>
      </c>
      <c r="B997" s="5">
        <v>35606</v>
      </c>
      <c r="C997" s="5">
        <v>44079</v>
      </c>
      <c r="D997" s="4">
        <v>23</v>
      </c>
      <c r="E997" s="6" t="str" cm="1">
        <f t="array" ref="E997">_xlfn.IFS(D997&lt;=5,"Newcomer",AND(D997&gt;=6,D997&lt;=10),"Proficient",D997&gt;10,"Expert")</f>
        <v>Expert</v>
      </c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 t="str" cm="1">
        <f t="array" ref="M997">_xlfn.IFS(L997="Retirement","Voluntary",L997="Resignation","Voluntary",L997="Layoff","InVoluntary")</f>
        <v>InVoluntary</v>
      </c>
      <c r="N997" s="4" t="s">
        <v>26</v>
      </c>
      <c r="O997" s="41"/>
      <c r="P997">
        <v>1</v>
      </c>
      <c r="Q997" t="s">
        <v>174</v>
      </c>
    </row>
    <row r="998" spans="1:17" x14ac:dyDescent="0.35">
      <c r="A998" s="4">
        <v>5037</v>
      </c>
      <c r="B998" s="5">
        <v>38734</v>
      </c>
      <c r="C998" s="5">
        <v>44071</v>
      </c>
      <c r="D998" s="4">
        <v>14</v>
      </c>
      <c r="E998" s="6" t="str" cm="1">
        <f t="array" ref="E998">_xlfn.IFS(D998&lt;=5,"Newcomer",AND(D998&gt;=6,D998&lt;=10),"Proficient",D998&gt;10,"Expert")</f>
        <v>Expert</v>
      </c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 t="str" cm="1">
        <f t="array" ref="M998">_xlfn.IFS(L998="Retirement","Voluntary",L998="Resignation","Voluntary",L998="Layoff","InVoluntary")</f>
        <v>InVoluntary</v>
      </c>
      <c r="N998" s="4" t="s">
        <v>26</v>
      </c>
      <c r="O998" s="41"/>
      <c r="P998">
        <v>1</v>
      </c>
      <c r="Q998" t="s">
        <v>174</v>
      </c>
    </row>
    <row r="999" spans="1:17" x14ac:dyDescent="0.35">
      <c r="A999" s="4">
        <v>5038</v>
      </c>
      <c r="B999" s="5">
        <v>40471</v>
      </c>
      <c r="C999" s="5">
        <v>43876</v>
      </c>
      <c r="D999" s="4">
        <v>10</v>
      </c>
      <c r="E999" s="6" t="str" cm="1">
        <f t="array" ref="E999">_xlfn.IFS(D999&lt;=5,"Newcomer",AND(D999&gt;=6,D999&lt;=10),"Proficient",D999&gt;10,"Expert")</f>
        <v>Proficient</v>
      </c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 t="str" cm="1">
        <f t="array" ref="M999">_xlfn.IFS(L999="Retirement","Voluntary",L999="Resignation","Voluntary",L999="Layoff","InVoluntary")</f>
        <v>InVoluntary</v>
      </c>
      <c r="N999" s="4" t="s">
        <v>26</v>
      </c>
      <c r="O999" s="41"/>
      <c r="P999">
        <v>1</v>
      </c>
      <c r="Q999" t="s">
        <v>174</v>
      </c>
    </row>
    <row r="1000" spans="1:17" x14ac:dyDescent="0.35">
      <c r="A1000" s="4">
        <v>5039</v>
      </c>
      <c r="B1000" s="5">
        <v>33691</v>
      </c>
      <c r="C1000" s="5">
        <v>44141</v>
      </c>
      <c r="D1000" s="4">
        <v>28</v>
      </c>
      <c r="E1000" s="6" t="str" cm="1">
        <f t="array" ref="E1000">_xlfn.IFS(D1000&lt;=5,"Newcomer",AND(D1000&gt;=6,D1000&lt;=10),"Proficient",D1000&gt;10,"Expert")</f>
        <v>Expert</v>
      </c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 t="str" cm="1">
        <f t="array" ref="M1000">_xlfn.IFS(L1000="Retirement","Voluntary",L1000="Resignation","Voluntary",L1000="Layoff","InVoluntary")</f>
        <v>InVoluntary</v>
      </c>
      <c r="N1000" s="4" t="s">
        <v>26</v>
      </c>
      <c r="O1000" s="41"/>
      <c r="P1000">
        <v>1</v>
      </c>
      <c r="Q1000" t="s">
        <v>174</v>
      </c>
    </row>
    <row r="1001" spans="1:17" x14ac:dyDescent="0.35">
      <c r="A1001" s="4">
        <v>5047</v>
      </c>
      <c r="B1001" s="5">
        <v>37267</v>
      </c>
      <c r="C1001" s="5">
        <v>44166</v>
      </c>
      <c r="D1001" s="4">
        <v>18</v>
      </c>
      <c r="E1001" s="6" t="str" cm="1">
        <f t="array" ref="E1001">_xlfn.IFS(D1001&lt;=5,"Newcomer",AND(D1001&gt;=6,D1001&lt;=10),"Proficient",D1001&gt;10,"Expert")</f>
        <v>Expert</v>
      </c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 t="str" cm="1">
        <f t="array" ref="M1001">_xlfn.IFS(L1001="Retirement","Voluntary",L1001="Resignation","Voluntary",L1001="Layoff","InVoluntary")</f>
        <v>InVoluntary</v>
      </c>
      <c r="N1001" s="4" t="s">
        <v>26</v>
      </c>
      <c r="O1001" s="41"/>
      <c r="P1001">
        <v>1</v>
      </c>
      <c r="Q1001" t="s">
        <v>174</v>
      </c>
    </row>
    <row r="1002" spans="1:17" x14ac:dyDescent="0.35">
      <c r="A1002" s="4">
        <v>5051</v>
      </c>
      <c r="B1002" s="5">
        <v>32876</v>
      </c>
      <c r="C1002" s="5">
        <v>44127</v>
      </c>
      <c r="D1002" s="4">
        <v>30</v>
      </c>
      <c r="E1002" s="6" t="str" cm="1">
        <f t="array" ref="E1002">_xlfn.IFS(D1002&lt;=5,"Newcomer",AND(D1002&gt;=6,D1002&lt;=10),"Proficient",D1002&gt;10,"Expert")</f>
        <v>Expert</v>
      </c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 t="str" cm="1">
        <f t="array" ref="M1002">_xlfn.IFS(L1002="Retirement","Voluntary",L1002="Resignation","Voluntary",L1002="Layoff","InVoluntary")</f>
        <v>InVoluntary</v>
      </c>
      <c r="N1002" s="4" t="s">
        <v>26</v>
      </c>
      <c r="O1002" s="41"/>
      <c r="P1002">
        <v>1</v>
      </c>
      <c r="Q1002" t="s">
        <v>174</v>
      </c>
    </row>
    <row r="1003" spans="1:17" x14ac:dyDescent="0.35">
      <c r="A1003" s="4">
        <v>5052</v>
      </c>
      <c r="B1003" s="5">
        <v>37829</v>
      </c>
      <c r="C1003" s="5">
        <v>44139</v>
      </c>
      <c r="D1003" s="4">
        <v>17</v>
      </c>
      <c r="E1003" s="6" t="str" cm="1">
        <f t="array" ref="E1003">_xlfn.IFS(D1003&lt;=5,"Newcomer",AND(D1003&gt;=6,D1003&lt;=10),"Proficient",D1003&gt;10,"Expert")</f>
        <v>Expert</v>
      </c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 t="str" cm="1">
        <f t="array" ref="M1003">_xlfn.IFS(L1003="Retirement","Voluntary",L1003="Resignation","Voluntary",L1003="Layoff","InVoluntary")</f>
        <v>InVoluntary</v>
      </c>
      <c r="N1003" s="4" t="s">
        <v>26</v>
      </c>
      <c r="O1003" s="41"/>
      <c r="P1003">
        <v>1</v>
      </c>
      <c r="Q1003" t="s">
        <v>174</v>
      </c>
    </row>
    <row r="1004" spans="1:17" x14ac:dyDescent="0.35">
      <c r="A1004" s="4">
        <v>5053</v>
      </c>
      <c r="B1004" s="5">
        <v>37994</v>
      </c>
      <c r="C1004" s="5">
        <v>44140</v>
      </c>
      <c r="D1004" s="4">
        <v>16</v>
      </c>
      <c r="E1004" s="6" t="str" cm="1">
        <f t="array" ref="E1004">_xlfn.IFS(D1004&lt;=5,"Newcomer",AND(D1004&gt;=6,D1004&lt;=10),"Proficient",D1004&gt;10,"Expert")</f>
        <v>Expert</v>
      </c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 t="str" cm="1">
        <f t="array" ref="M1004">_xlfn.IFS(L1004="Retirement","Voluntary",L1004="Resignation","Voluntary",L1004="Layoff","InVoluntary")</f>
        <v>InVoluntary</v>
      </c>
      <c r="N1004" s="4" t="s">
        <v>26</v>
      </c>
      <c r="O1004" s="41"/>
      <c r="P1004">
        <v>1</v>
      </c>
      <c r="Q1004" t="s">
        <v>174</v>
      </c>
    </row>
    <row r="1005" spans="1:17" x14ac:dyDescent="0.35">
      <c r="A1005" s="4">
        <v>5054</v>
      </c>
      <c r="B1005" s="5">
        <v>36593</v>
      </c>
      <c r="C1005" s="5">
        <v>44085</v>
      </c>
      <c r="D1005" s="4">
        <v>20</v>
      </c>
      <c r="E1005" s="6" t="str" cm="1">
        <f t="array" ref="E1005">_xlfn.IFS(D1005&lt;=5,"Newcomer",AND(D1005&gt;=6,D1005&lt;=10),"Proficient",D1005&gt;10,"Expert")</f>
        <v>Expert</v>
      </c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 t="str" cm="1">
        <f t="array" ref="M1005">_xlfn.IFS(L1005="Retirement","Voluntary",L1005="Resignation","Voluntary",L1005="Layoff","InVoluntary")</f>
        <v>InVoluntary</v>
      </c>
      <c r="N1005" s="4" t="s">
        <v>26</v>
      </c>
      <c r="O1005" s="41"/>
      <c r="P1005">
        <v>1</v>
      </c>
      <c r="Q1005" t="s">
        <v>174</v>
      </c>
    </row>
    <row r="1006" spans="1:17" x14ac:dyDescent="0.35">
      <c r="A1006" s="4">
        <v>5064</v>
      </c>
      <c r="B1006" s="5">
        <v>35883</v>
      </c>
      <c r="C1006" s="5">
        <v>44022</v>
      </c>
      <c r="D1006" s="4">
        <v>22</v>
      </c>
      <c r="E1006" s="6" t="str" cm="1">
        <f t="array" ref="E1006">_xlfn.IFS(D1006&lt;=5,"Newcomer",AND(D1006&gt;=6,D1006&lt;=10),"Proficient",D1006&gt;10,"Expert")</f>
        <v>Expert</v>
      </c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 t="str" cm="1">
        <f t="array" ref="M1006">_xlfn.IFS(L1006="Retirement","Voluntary",L1006="Resignation","Voluntary",L1006="Layoff","InVoluntary")</f>
        <v>InVoluntary</v>
      </c>
      <c r="N1006" s="4" t="s">
        <v>26</v>
      </c>
      <c r="O1006" s="41"/>
      <c r="P1006">
        <v>1</v>
      </c>
      <c r="Q1006" t="s">
        <v>174</v>
      </c>
    </row>
    <row r="1007" spans="1:17" x14ac:dyDescent="0.35">
      <c r="A1007" s="4">
        <v>5066</v>
      </c>
      <c r="B1007" s="5">
        <v>38879</v>
      </c>
      <c r="C1007" s="5">
        <v>44078</v>
      </c>
      <c r="D1007" s="4">
        <v>14</v>
      </c>
      <c r="E1007" s="6" t="str" cm="1">
        <f t="array" ref="E1007">_xlfn.IFS(D1007&lt;=5,"Newcomer",AND(D1007&gt;=6,D1007&lt;=10),"Proficient",D1007&gt;10,"Expert")</f>
        <v>Expert</v>
      </c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 t="str" cm="1">
        <f t="array" ref="M1007">_xlfn.IFS(L1007="Retirement","Voluntary",L1007="Resignation","Voluntary",L1007="Layoff","InVoluntary")</f>
        <v>InVoluntary</v>
      </c>
      <c r="N1007" s="4" t="s">
        <v>26</v>
      </c>
      <c r="O1007" s="41"/>
      <c r="P1007">
        <v>1</v>
      </c>
      <c r="Q1007" t="s">
        <v>174</v>
      </c>
    </row>
    <row r="1008" spans="1:17" x14ac:dyDescent="0.35">
      <c r="A1008" s="4">
        <v>5068</v>
      </c>
      <c r="B1008" s="5">
        <v>35394</v>
      </c>
      <c r="C1008" s="5">
        <v>44011</v>
      </c>
      <c r="D1008" s="4">
        <v>24</v>
      </c>
      <c r="E1008" s="6" t="str" cm="1">
        <f t="array" ref="E1008">_xlfn.IFS(D1008&lt;=5,"Newcomer",AND(D1008&gt;=6,D1008&lt;=10),"Proficient",D1008&gt;10,"Expert")</f>
        <v>Expert</v>
      </c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 t="str" cm="1">
        <f t="array" ref="M1008">_xlfn.IFS(L1008="Retirement","Voluntary",L1008="Resignation","Voluntary",L1008="Layoff","InVoluntary")</f>
        <v>InVoluntary</v>
      </c>
      <c r="N1008" s="4" t="s">
        <v>26</v>
      </c>
      <c r="O1008" s="41"/>
      <c r="P1008">
        <v>1</v>
      </c>
      <c r="Q1008" t="s">
        <v>174</v>
      </c>
    </row>
    <row r="1009" spans="1:17" x14ac:dyDescent="0.35">
      <c r="A1009" s="4">
        <v>5071</v>
      </c>
      <c r="B1009" s="5">
        <v>35671</v>
      </c>
      <c r="C1009" s="5">
        <v>43901</v>
      </c>
      <c r="D1009" s="4">
        <v>23</v>
      </c>
      <c r="E1009" s="6" t="str" cm="1">
        <f t="array" ref="E1009">_xlfn.IFS(D1009&lt;=5,"Newcomer",AND(D1009&gt;=6,D1009&lt;=10),"Proficient",D1009&gt;10,"Expert")</f>
        <v>Expert</v>
      </c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 t="str" cm="1">
        <f t="array" ref="M1009">_xlfn.IFS(L1009="Retirement","Voluntary",L1009="Resignation","Voluntary",L1009="Layoff","InVoluntary")</f>
        <v>InVoluntary</v>
      </c>
      <c r="N1009" s="4" t="s">
        <v>26</v>
      </c>
      <c r="O1009" s="41"/>
      <c r="P1009">
        <v>1</v>
      </c>
      <c r="Q1009" t="s">
        <v>174</v>
      </c>
    </row>
    <row r="1010" spans="1:17" x14ac:dyDescent="0.35">
      <c r="A1010" s="4">
        <v>5076</v>
      </c>
      <c r="B1010" s="5">
        <v>34529</v>
      </c>
      <c r="C1010" s="5">
        <v>43967</v>
      </c>
      <c r="D1010" s="4">
        <v>26</v>
      </c>
      <c r="E1010" s="6" t="str" cm="1">
        <f t="array" ref="E1010">_xlfn.IFS(D1010&lt;=5,"Newcomer",AND(D1010&gt;=6,D1010&lt;=10),"Proficient",D1010&gt;10,"Expert")</f>
        <v>Expert</v>
      </c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 t="str" cm="1">
        <f t="array" ref="M1010">_xlfn.IFS(L1010="Retirement","Voluntary",L1010="Resignation","Voluntary",L1010="Layoff","InVoluntary")</f>
        <v>InVoluntary</v>
      </c>
      <c r="N1010" s="4" t="s">
        <v>26</v>
      </c>
      <c r="O1010" s="41"/>
      <c r="P1010">
        <v>1</v>
      </c>
      <c r="Q1010" t="s">
        <v>174</v>
      </c>
    </row>
    <row r="1011" spans="1:17" x14ac:dyDescent="0.35">
      <c r="A1011" s="4">
        <v>5077</v>
      </c>
      <c r="B1011" s="5">
        <v>34851</v>
      </c>
      <c r="C1011" s="5">
        <v>43909</v>
      </c>
      <c r="D1011" s="4">
        <v>25</v>
      </c>
      <c r="E1011" s="6" t="str" cm="1">
        <f t="array" ref="E1011">_xlfn.IFS(D1011&lt;=5,"Newcomer",AND(D1011&gt;=6,D1011&lt;=10),"Proficient",D1011&gt;10,"Expert")</f>
        <v>Expert</v>
      </c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 t="str" cm="1">
        <f t="array" ref="M1011">_xlfn.IFS(L1011="Retirement","Voluntary",L1011="Resignation","Voluntary",L1011="Layoff","InVoluntary")</f>
        <v>InVoluntary</v>
      </c>
      <c r="N1011" s="4" t="s">
        <v>26</v>
      </c>
      <c r="O1011" s="41"/>
      <c r="P1011">
        <v>1</v>
      </c>
      <c r="Q1011" t="s">
        <v>174</v>
      </c>
    </row>
    <row r="1012" spans="1:17" x14ac:dyDescent="0.35">
      <c r="A1012" s="4">
        <v>5079</v>
      </c>
      <c r="B1012" s="5">
        <v>34204</v>
      </c>
      <c r="C1012" s="5">
        <v>44110</v>
      </c>
      <c r="D1012" s="4">
        <v>27</v>
      </c>
      <c r="E1012" s="6" t="str" cm="1">
        <f t="array" ref="E1012">_xlfn.IFS(D1012&lt;=5,"Newcomer",AND(D1012&gt;=6,D1012&lt;=10),"Proficient",D1012&gt;10,"Expert")</f>
        <v>Expert</v>
      </c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 t="str" cm="1">
        <f t="array" ref="M1012">_xlfn.IFS(L1012="Retirement","Voluntary",L1012="Resignation","Voluntary",L1012="Layoff","InVoluntary")</f>
        <v>InVoluntary</v>
      </c>
      <c r="N1012" s="4" t="s">
        <v>26</v>
      </c>
      <c r="O1012" s="41"/>
      <c r="P1012">
        <v>1</v>
      </c>
      <c r="Q1012" t="s">
        <v>174</v>
      </c>
    </row>
    <row r="1013" spans="1:17" x14ac:dyDescent="0.35">
      <c r="A1013" s="4">
        <v>5081</v>
      </c>
      <c r="B1013" s="5">
        <v>35043</v>
      </c>
      <c r="C1013" s="5">
        <v>44100</v>
      </c>
      <c r="D1013" s="4">
        <v>25</v>
      </c>
      <c r="E1013" s="6" t="str" cm="1">
        <f t="array" ref="E1013">_xlfn.IFS(D1013&lt;=5,"Newcomer",AND(D1013&gt;=6,D1013&lt;=10),"Proficient",D1013&gt;10,"Expert")</f>
        <v>Expert</v>
      </c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 t="str" cm="1">
        <f t="array" ref="M1013">_xlfn.IFS(L1013="Retirement","Voluntary",L1013="Resignation","Voluntary",L1013="Layoff","InVoluntary")</f>
        <v>InVoluntary</v>
      </c>
      <c r="N1013" s="4" t="s">
        <v>26</v>
      </c>
      <c r="O1013" s="41"/>
      <c r="P1013">
        <v>1</v>
      </c>
      <c r="Q1013" t="s">
        <v>174</v>
      </c>
    </row>
    <row r="1014" spans="1:17" x14ac:dyDescent="0.35">
      <c r="A1014" s="4">
        <v>5082</v>
      </c>
      <c r="B1014" s="5">
        <v>34885</v>
      </c>
      <c r="C1014" s="5">
        <v>43908</v>
      </c>
      <c r="D1014" s="4">
        <v>25</v>
      </c>
      <c r="E1014" s="6" t="str" cm="1">
        <f t="array" ref="E1014">_xlfn.IFS(D1014&lt;=5,"Newcomer",AND(D1014&gt;=6,D1014&lt;=10),"Proficient",D1014&gt;10,"Expert")</f>
        <v>Expert</v>
      </c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 t="str" cm="1">
        <f t="array" ref="M1014">_xlfn.IFS(L1014="Retirement","Voluntary",L1014="Resignation","Voluntary",L1014="Layoff","InVoluntary")</f>
        <v>InVoluntary</v>
      </c>
      <c r="N1014" s="4" t="s">
        <v>26</v>
      </c>
      <c r="O1014" s="41"/>
      <c r="P1014">
        <v>1</v>
      </c>
      <c r="Q1014" t="s">
        <v>174</v>
      </c>
    </row>
    <row r="1015" spans="1:17" x14ac:dyDescent="0.35">
      <c r="A1015" s="4">
        <v>5083</v>
      </c>
      <c r="B1015" s="5">
        <v>37997</v>
      </c>
      <c r="C1015" s="5">
        <v>43931</v>
      </c>
      <c r="D1015" s="4">
        <v>16</v>
      </c>
      <c r="E1015" s="6" t="str" cm="1">
        <f t="array" ref="E1015">_xlfn.IFS(D1015&lt;=5,"Newcomer",AND(D1015&gt;=6,D1015&lt;=10),"Proficient",D1015&gt;10,"Expert")</f>
        <v>Expert</v>
      </c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 t="str" cm="1">
        <f t="array" ref="M1015">_xlfn.IFS(L1015="Retirement","Voluntary",L1015="Resignation","Voluntary",L1015="Layoff","InVoluntary")</f>
        <v>InVoluntary</v>
      </c>
      <c r="N1015" s="4" t="s">
        <v>26</v>
      </c>
      <c r="O1015" s="41"/>
      <c r="P1015">
        <v>1</v>
      </c>
      <c r="Q1015" t="s">
        <v>174</v>
      </c>
    </row>
    <row r="1016" spans="1:17" x14ac:dyDescent="0.35">
      <c r="A1016" s="4">
        <v>5084</v>
      </c>
      <c r="B1016" s="5">
        <v>37009</v>
      </c>
      <c r="C1016" s="5">
        <v>44164</v>
      </c>
      <c r="D1016" s="4">
        <v>19</v>
      </c>
      <c r="E1016" s="6" t="str" cm="1">
        <f t="array" ref="E1016">_xlfn.IFS(D1016&lt;=5,"Newcomer",AND(D1016&gt;=6,D1016&lt;=10),"Proficient",D1016&gt;10,"Expert")</f>
        <v>Expert</v>
      </c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 t="str" cm="1">
        <f t="array" ref="M1016">_xlfn.IFS(L1016="Retirement","Voluntary",L1016="Resignation","Voluntary",L1016="Layoff","InVoluntary")</f>
        <v>InVoluntary</v>
      </c>
      <c r="N1016" s="4" t="s">
        <v>26</v>
      </c>
      <c r="O1016" s="41"/>
      <c r="P1016">
        <v>1</v>
      </c>
      <c r="Q1016" t="s">
        <v>174</v>
      </c>
    </row>
    <row r="1017" spans="1:17" x14ac:dyDescent="0.35">
      <c r="A1017" s="4">
        <v>5088</v>
      </c>
      <c r="B1017" s="5">
        <v>33861</v>
      </c>
      <c r="C1017" s="5">
        <v>44050</v>
      </c>
      <c r="D1017" s="4">
        <v>28</v>
      </c>
      <c r="E1017" s="6" t="str" cm="1">
        <f t="array" ref="E1017">_xlfn.IFS(D1017&lt;=5,"Newcomer",AND(D1017&gt;=6,D1017&lt;=10),"Proficient",D1017&gt;10,"Expert")</f>
        <v>Expert</v>
      </c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 t="str" cm="1">
        <f t="array" ref="M1017">_xlfn.IFS(L1017="Retirement","Voluntary",L1017="Resignation","Voluntary",L1017="Layoff","InVoluntary")</f>
        <v>InVoluntary</v>
      </c>
      <c r="N1017" s="4" t="s">
        <v>26</v>
      </c>
      <c r="O1017" s="41"/>
      <c r="P1017">
        <v>1</v>
      </c>
      <c r="Q1017" t="s">
        <v>174</v>
      </c>
    </row>
    <row r="1018" spans="1:17" x14ac:dyDescent="0.35">
      <c r="A1018" s="4">
        <v>5091</v>
      </c>
      <c r="B1018" s="5">
        <v>39418</v>
      </c>
      <c r="C1018" s="5">
        <v>44186</v>
      </c>
      <c r="D1018" s="4">
        <v>13</v>
      </c>
      <c r="E1018" s="6" t="str" cm="1">
        <f t="array" ref="E1018">_xlfn.IFS(D1018&lt;=5,"Newcomer",AND(D1018&gt;=6,D1018&lt;=10),"Proficient",D1018&gt;10,"Expert")</f>
        <v>Expert</v>
      </c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 t="str" cm="1">
        <f t="array" ref="M1018">_xlfn.IFS(L1018="Retirement","Voluntary",L1018="Resignation","Voluntary",L1018="Layoff","InVoluntary")</f>
        <v>InVoluntary</v>
      </c>
      <c r="N1018" s="4" t="s">
        <v>26</v>
      </c>
      <c r="O1018" s="41"/>
      <c r="P1018">
        <v>1</v>
      </c>
      <c r="Q1018" t="s">
        <v>174</v>
      </c>
    </row>
    <row r="1019" spans="1:17" x14ac:dyDescent="0.35">
      <c r="A1019" s="4">
        <v>5095</v>
      </c>
      <c r="B1019" s="5">
        <v>34704</v>
      </c>
      <c r="C1019" s="5">
        <v>43838</v>
      </c>
      <c r="D1019" s="4">
        <v>25</v>
      </c>
      <c r="E1019" s="6" t="str" cm="1">
        <f t="array" ref="E1019">_xlfn.IFS(D1019&lt;=5,"Newcomer",AND(D1019&gt;=6,D1019&lt;=10),"Proficient",D1019&gt;10,"Expert")</f>
        <v>Expert</v>
      </c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 t="str" cm="1">
        <f t="array" ref="M1019">_xlfn.IFS(L1019="Retirement","Voluntary",L1019="Resignation","Voluntary",L1019="Layoff","InVoluntary")</f>
        <v>InVoluntary</v>
      </c>
      <c r="N1019" s="4" t="s">
        <v>26</v>
      </c>
      <c r="O1019" s="41"/>
      <c r="P1019">
        <v>1</v>
      </c>
      <c r="Q1019" t="s">
        <v>174</v>
      </c>
    </row>
    <row r="1020" spans="1:17" x14ac:dyDescent="0.35">
      <c r="A1020" s="4">
        <v>5096</v>
      </c>
      <c r="B1020" s="5">
        <v>35014</v>
      </c>
      <c r="C1020" s="5">
        <v>43916</v>
      </c>
      <c r="D1020" s="4">
        <v>25</v>
      </c>
      <c r="E1020" s="6" t="str" cm="1">
        <f t="array" ref="E1020">_xlfn.IFS(D1020&lt;=5,"Newcomer",AND(D1020&gt;=6,D1020&lt;=10),"Proficient",D1020&gt;10,"Expert")</f>
        <v>Expert</v>
      </c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 t="str" cm="1">
        <f t="array" ref="M1020">_xlfn.IFS(L1020="Retirement","Voluntary",L1020="Resignation","Voluntary",L1020="Layoff","InVoluntary")</f>
        <v>InVoluntary</v>
      </c>
      <c r="N1020" s="4" t="s">
        <v>26</v>
      </c>
      <c r="O1020" s="41"/>
      <c r="P1020">
        <v>1</v>
      </c>
      <c r="Q1020" t="s">
        <v>174</v>
      </c>
    </row>
    <row r="1021" spans="1:17" x14ac:dyDescent="0.35">
      <c r="A1021" s="4">
        <v>5097</v>
      </c>
      <c r="B1021" s="5">
        <v>33616</v>
      </c>
      <c r="C1021" s="5">
        <v>43938</v>
      </c>
      <c r="D1021" s="4">
        <v>28</v>
      </c>
      <c r="E1021" s="6" t="str" cm="1">
        <f t="array" ref="E1021">_xlfn.IFS(D1021&lt;=5,"Newcomer",AND(D1021&gt;=6,D1021&lt;=10),"Proficient",D1021&gt;10,"Expert")</f>
        <v>Expert</v>
      </c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 t="str" cm="1">
        <f t="array" ref="M1021">_xlfn.IFS(L1021="Retirement","Voluntary",L1021="Resignation","Voluntary",L1021="Layoff","InVoluntary")</f>
        <v>InVoluntary</v>
      </c>
      <c r="N1021" s="4" t="s">
        <v>26</v>
      </c>
      <c r="O1021" s="41"/>
      <c r="P1021">
        <v>1</v>
      </c>
      <c r="Q1021" t="s">
        <v>174</v>
      </c>
    </row>
    <row r="1022" spans="1:17" x14ac:dyDescent="0.35">
      <c r="A1022" s="4">
        <v>5098</v>
      </c>
      <c r="B1022" s="5">
        <v>40037</v>
      </c>
      <c r="C1022" s="5">
        <v>44039</v>
      </c>
      <c r="D1022" s="4">
        <v>11</v>
      </c>
      <c r="E1022" s="6" t="str" cm="1">
        <f t="array" ref="E1022">_xlfn.IFS(D1022&lt;=5,"Newcomer",AND(D1022&gt;=6,D1022&lt;=10),"Proficient",D1022&gt;10,"Expert")</f>
        <v>Expert</v>
      </c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 t="str" cm="1">
        <f t="array" ref="M1022">_xlfn.IFS(L1022="Retirement","Voluntary",L1022="Resignation","Voluntary",L1022="Layoff","InVoluntary")</f>
        <v>InVoluntary</v>
      </c>
      <c r="N1022" s="4" t="s">
        <v>26</v>
      </c>
      <c r="O1022" s="41"/>
      <c r="P1022">
        <v>1</v>
      </c>
      <c r="Q1022" t="s">
        <v>174</v>
      </c>
    </row>
    <row r="1023" spans="1:17" x14ac:dyDescent="0.35">
      <c r="A1023" s="4">
        <v>5099</v>
      </c>
      <c r="B1023" s="5">
        <v>38924</v>
      </c>
      <c r="C1023" s="5">
        <v>44160</v>
      </c>
      <c r="D1023" s="4">
        <v>14</v>
      </c>
      <c r="E1023" s="6" t="str" cm="1">
        <f t="array" ref="E1023">_xlfn.IFS(D1023&lt;=5,"Newcomer",AND(D1023&gt;=6,D1023&lt;=10),"Proficient",D1023&gt;10,"Expert")</f>
        <v>Expert</v>
      </c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 t="str" cm="1">
        <f t="array" ref="M1023">_xlfn.IFS(L1023="Retirement","Voluntary",L1023="Resignation","Voluntary",L1023="Layoff","InVoluntary")</f>
        <v>InVoluntary</v>
      </c>
      <c r="N1023" s="4" t="s">
        <v>26</v>
      </c>
      <c r="O1023" s="41"/>
      <c r="P1023">
        <v>1</v>
      </c>
      <c r="Q1023" t="s">
        <v>174</v>
      </c>
    </row>
    <row r="1024" spans="1:17" x14ac:dyDescent="0.35">
      <c r="A1024" s="4">
        <v>5104</v>
      </c>
      <c r="B1024" s="5">
        <v>37133</v>
      </c>
      <c r="C1024" s="5">
        <v>43919</v>
      </c>
      <c r="D1024" s="4">
        <v>19</v>
      </c>
      <c r="E1024" s="6" t="str" cm="1">
        <f t="array" ref="E1024">_xlfn.IFS(D1024&lt;=5,"Newcomer",AND(D1024&gt;=6,D1024&lt;=10),"Proficient",D1024&gt;10,"Expert")</f>
        <v>Expert</v>
      </c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 t="str" cm="1">
        <f t="array" ref="M1024">_xlfn.IFS(L1024="Retirement","Voluntary",L1024="Resignation","Voluntary",L1024="Layoff","InVoluntary")</f>
        <v>InVoluntary</v>
      </c>
      <c r="N1024" s="4" t="s">
        <v>26</v>
      </c>
      <c r="O1024" s="41"/>
      <c r="P1024">
        <v>1</v>
      </c>
      <c r="Q1024" t="s">
        <v>174</v>
      </c>
    </row>
    <row r="1025" spans="1:17" x14ac:dyDescent="0.35">
      <c r="A1025" s="4">
        <v>5108</v>
      </c>
      <c r="B1025" s="5">
        <v>34378</v>
      </c>
      <c r="C1025" s="5">
        <v>44005</v>
      </c>
      <c r="D1025" s="4">
        <v>26</v>
      </c>
      <c r="E1025" s="6" t="str" cm="1">
        <f t="array" ref="E1025">_xlfn.IFS(D1025&lt;=5,"Newcomer",AND(D1025&gt;=6,D1025&lt;=10),"Proficient",D1025&gt;10,"Expert")</f>
        <v>Expert</v>
      </c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 t="str" cm="1">
        <f t="array" ref="M1025">_xlfn.IFS(L1025="Retirement","Voluntary",L1025="Resignation","Voluntary",L1025="Layoff","InVoluntary")</f>
        <v>Voluntary</v>
      </c>
      <c r="N1025" s="4" t="s">
        <v>26</v>
      </c>
      <c r="O1025" s="41"/>
      <c r="P1025">
        <v>1</v>
      </c>
      <c r="Q1025" t="s">
        <v>173</v>
      </c>
    </row>
    <row r="1026" spans="1:17" x14ac:dyDescent="0.35">
      <c r="A1026" s="4">
        <v>5109</v>
      </c>
      <c r="B1026" s="5">
        <v>36624</v>
      </c>
      <c r="C1026" s="5">
        <v>44019</v>
      </c>
      <c r="D1026" s="4">
        <v>20</v>
      </c>
      <c r="E1026" s="6" t="str" cm="1">
        <f t="array" ref="E1026">_xlfn.IFS(D1026&lt;=5,"Newcomer",AND(D1026&gt;=6,D1026&lt;=10),"Proficient",D1026&gt;10,"Expert")</f>
        <v>Expert</v>
      </c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 t="str" cm="1">
        <f t="array" ref="M1026">_xlfn.IFS(L1026="Retirement","Voluntary",L1026="Resignation","Voluntary",L1026="Layoff","InVoluntary")</f>
        <v>Voluntary</v>
      </c>
      <c r="N1026" s="4" t="s">
        <v>26</v>
      </c>
      <c r="O1026" s="41"/>
      <c r="P1026">
        <v>1</v>
      </c>
      <c r="Q1026" t="s">
        <v>173</v>
      </c>
    </row>
    <row r="1027" spans="1:17" x14ac:dyDescent="0.35">
      <c r="A1027" s="4">
        <v>5112</v>
      </c>
      <c r="B1027" s="5">
        <v>37841</v>
      </c>
      <c r="C1027" s="5">
        <v>44165</v>
      </c>
      <c r="D1027" s="4">
        <v>17</v>
      </c>
      <c r="E1027" s="6" t="str" cm="1">
        <f t="array" ref="E1027">_xlfn.IFS(D1027&lt;=5,"Newcomer",AND(D1027&gt;=6,D1027&lt;=10),"Proficient",D1027&gt;10,"Expert")</f>
        <v>Expert</v>
      </c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 t="str" cm="1">
        <f t="array" ref="M1027">_xlfn.IFS(L1027="Retirement","Voluntary",L1027="Resignation","Voluntary",L1027="Layoff","InVoluntary")</f>
        <v>Voluntary</v>
      </c>
      <c r="N1027" s="4" t="s">
        <v>26</v>
      </c>
      <c r="O1027" s="41"/>
      <c r="P1027">
        <v>1</v>
      </c>
      <c r="Q1027" t="s">
        <v>173</v>
      </c>
    </row>
    <row r="1028" spans="1:17" x14ac:dyDescent="0.35">
      <c r="A1028" s="4">
        <v>5121</v>
      </c>
      <c r="B1028" s="5">
        <v>40148</v>
      </c>
      <c r="C1028" s="5">
        <v>44118</v>
      </c>
      <c r="D1028" s="4">
        <v>11</v>
      </c>
      <c r="E1028" s="6" t="str" cm="1">
        <f t="array" ref="E1028">_xlfn.IFS(D1028&lt;=5,"Newcomer",AND(D1028&gt;=6,D1028&lt;=10),"Proficient",D1028&gt;10,"Expert")</f>
        <v>Expert</v>
      </c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 t="str" cm="1">
        <f t="array" ref="M1028">_xlfn.IFS(L1028="Retirement","Voluntary",L1028="Resignation","Voluntary",L1028="Layoff","InVoluntary")</f>
        <v>InVoluntary</v>
      </c>
      <c r="N1028" s="4" t="s">
        <v>26</v>
      </c>
      <c r="O1028" s="41"/>
      <c r="P1028">
        <v>1</v>
      </c>
      <c r="Q1028" t="s">
        <v>174</v>
      </c>
    </row>
    <row r="1029" spans="1:17" x14ac:dyDescent="0.35">
      <c r="A1029" s="4">
        <v>5125</v>
      </c>
      <c r="B1029" s="5">
        <v>36836</v>
      </c>
      <c r="C1029" s="5">
        <v>44036</v>
      </c>
      <c r="D1029" s="4">
        <v>20</v>
      </c>
      <c r="E1029" s="6" t="str" cm="1">
        <f t="array" ref="E1029">_xlfn.IFS(D1029&lt;=5,"Newcomer",AND(D1029&gt;=6,D1029&lt;=10),"Proficient",D1029&gt;10,"Expert")</f>
        <v>Expert</v>
      </c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 t="str" cm="1">
        <f t="array" ref="M1029">_xlfn.IFS(L1029="Retirement","Voluntary",L1029="Resignation","Voluntary",L1029="Layoff","InVoluntary")</f>
        <v>InVoluntary</v>
      </c>
      <c r="N1029" s="4" t="s">
        <v>26</v>
      </c>
      <c r="O1029" s="41"/>
      <c r="P1029">
        <v>1</v>
      </c>
      <c r="Q1029" t="s">
        <v>174</v>
      </c>
    </row>
    <row r="1030" spans="1:17" x14ac:dyDescent="0.35">
      <c r="A1030" s="4">
        <v>5156</v>
      </c>
      <c r="B1030" s="5">
        <v>38099</v>
      </c>
      <c r="C1030" s="5">
        <v>43908</v>
      </c>
      <c r="D1030" s="4">
        <v>16</v>
      </c>
      <c r="E1030" s="6" t="str" cm="1">
        <f t="array" ref="E1030">_xlfn.IFS(D1030&lt;=5,"Newcomer",AND(D1030&gt;=6,D1030&lt;=10),"Proficient",D1030&gt;10,"Expert")</f>
        <v>Expert</v>
      </c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 t="str" cm="1">
        <f t="array" ref="M1030">_xlfn.IFS(L1030="Retirement","Voluntary",L1030="Resignation","Voluntary",L1030="Layoff","InVoluntary")</f>
        <v>Voluntary</v>
      </c>
      <c r="N1030" s="4" t="s">
        <v>26</v>
      </c>
      <c r="O1030" s="41"/>
      <c r="P1030">
        <v>1</v>
      </c>
      <c r="Q1030" t="s">
        <v>173</v>
      </c>
    </row>
    <row r="1031" spans="1:17" x14ac:dyDescent="0.35">
      <c r="A1031" s="4">
        <v>5178</v>
      </c>
      <c r="B1031" s="5">
        <v>38869</v>
      </c>
      <c r="C1031" s="5">
        <v>43951</v>
      </c>
      <c r="D1031" s="4">
        <v>14</v>
      </c>
      <c r="E1031" s="6" t="str" cm="1">
        <f t="array" ref="E1031">_xlfn.IFS(D1031&lt;=5,"Newcomer",AND(D1031&gt;=6,D1031&lt;=10),"Proficient",D1031&gt;10,"Expert")</f>
        <v>Expert</v>
      </c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 t="str" cm="1">
        <f t="array" ref="M1031">_xlfn.IFS(L1031="Retirement","Voluntary",L1031="Resignation","Voluntary",L1031="Layoff","InVoluntary")</f>
        <v>InVoluntary</v>
      </c>
      <c r="N1031" s="4" t="s">
        <v>26</v>
      </c>
      <c r="O1031" s="41"/>
      <c r="P1031">
        <v>1</v>
      </c>
      <c r="Q1031" t="s">
        <v>174</v>
      </c>
    </row>
    <row r="1032" spans="1:17" x14ac:dyDescent="0.35">
      <c r="A1032" s="4">
        <v>5200</v>
      </c>
      <c r="B1032" s="5">
        <v>39808</v>
      </c>
      <c r="C1032" s="5">
        <v>43943</v>
      </c>
      <c r="D1032" s="4">
        <v>12</v>
      </c>
      <c r="E1032" s="6" t="str" cm="1">
        <f t="array" ref="E1032">_xlfn.IFS(D1032&lt;=5,"Newcomer",AND(D1032&gt;=6,D1032&lt;=10),"Proficient",D1032&gt;10,"Expert")</f>
        <v>Expert</v>
      </c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 t="str" cm="1">
        <f t="array" ref="M1032">_xlfn.IFS(L1032="Retirement","Voluntary",L1032="Resignation","Voluntary",L1032="Layoff","InVoluntary")</f>
        <v>InVoluntary</v>
      </c>
      <c r="N1032" s="4" t="s">
        <v>26</v>
      </c>
      <c r="O1032" s="41"/>
      <c r="P1032">
        <v>1</v>
      </c>
      <c r="Q1032" t="s">
        <v>174</v>
      </c>
    </row>
    <row r="1033" spans="1:17" x14ac:dyDescent="0.35">
      <c r="A1033" s="4">
        <v>5218</v>
      </c>
      <c r="B1033" s="5">
        <v>40729</v>
      </c>
      <c r="C1033" s="5">
        <v>43991</v>
      </c>
      <c r="D1033" s="4">
        <v>9</v>
      </c>
      <c r="E1033" s="6" t="str" cm="1">
        <f t="array" ref="E1033">_xlfn.IFS(D1033&lt;=5,"Newcomer",AND(D1033&gt;=6,D1033&lt;=10),"Proficient",D1033&gt;10,"Expert")</f>
        <v>Proficient</v>
      </c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 t="str" cm="1">
        <f t="array" ref="M1033">_xlfn.IFS(L1033="Retirement","Voluntary",L1033="Resignation","Voluntary",L1033="Layoff","InVoluntary")</f>
        <v>InVoluntary</v>
      </c>
      <c r="N1033" s="4" t="s">
        <v>26</v>
      </c>
      <c r="O1033" s="41"/>
      <c r="P1033">
        <v>1</v>
      </c>
      <c r="Q1033" t="s">
        <v>174</v>
      </c>
    </row>
    <row r="1034" spans="1:17" x14ac:dyDescent="0.35">
      <c r="A1034" s="4">
        <v>5236</v>
      </c>
      <c r="B1034" s="5">
        <v>35463</v>
      </c>
      <c r="C1034" s="5">
        <v>44021</v>
      </c>
      <c r="D1034" s="4">
        <v>23</v>
      </c>
      <c r="E1034" s="6" t="str" cm="1">
        <f t="array" ref="E1034">_xlfn.IFS(D1034&lt;=5,"Newcomer",AND(D1034&gt;=6,D1034&lt;=10),"Proficient",D1034&gt;10,"Expert")</f>
        <v>Expert</v>
      </c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 t="str" cm="1">
        <f t="array" ref="M1034">_xlfn.IFS(L1034="Retirement","Voluntary",L1034="Resignation","Voluntary",L1034="Layoff","InVoluntary")</f>
        <v>InVoluntary</v>
      </c>
      <c r="N1034" s="4" t="s">
        <v>26</v>
      </c>
      <c r="O1034" s="41"/>
      <c r="P1034">
        <v>1</v>
      </c>
      <c r="Q1034" t="s">
        <v>174</v>
      </c>
    </row>
    <row r="1035" spans="1:17" x14ac:dyDescent="0.35">
      <c r="A1035" s="4">
        <v>5245</v>
      </c>
      <c r="B1035" s="5">
        <v>34694</v>
      </c>
      <c r="C1035" s="5">
        <v>44054</v>
      </c>
      <c r="D1035" s="4">
        <v>26</v>
      </c>
      <c r="E1035" s="6" t="str" cm="1">
        <f t="array" ref="E1035">_xlfn.IFS(D1035&lt;=5,"Newcomer",AND(D1035&gt;=6,D1035&lt;=10),"Proficient",D1035&gt;10,"Expert")</f>
        <v>Expert</v>
      </c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 t="str" cm="1">
        <f t="array" ref="M1035">_xlfn.IFS(L1035="Retirement","Voluntary",L1035="Resignation","Voluntary",L1035="Layoff","InVoluntary")</f>
        <v>Voluntary</v>
      </c>
      <c r="N1035" s="4" t="s">
        <v>26</v>
      </c>
      <c r="O1035" s="41"/>
      <c r="P1035">
        <v>1</v>
      </c>
      <c r="Q1035" t="s">
        <v>173</v>
      </c>
    </row>
    <row r="1036" spans="1:17" x14ac:dyDescent="0.35">
      <c r="A1036" s="4">
        <v>5246</v>
      </c>
      <c r="B1036" s="5">
        <v>40589</v>
      </c>
      <c r="C1036" s="5">
        <v>43872</v>
      </c>
      <c r="D1036" s="4">
        <v>9</v>
      </c>
      <c r="E1036" s="6" t="str" cm="1">
        <f t="array" ref="E1036">_xlfn.IFS(D1036&lt;=5,"Newcomer",AND(D1036&gt;=6,D1036&lt;=10),"Proficient",D1036&gt;10,"Expert")</f>
        <v>Proficient</v>
      </c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 t="str" cm="1">
        <f t="array" ref="M1036">_xlfn.IFS(L1036="Retirement","Voluntary",L1036="Resignation","Voluntary",L1036="Layoff","InVoluntary")</f>
        <v>InVoluntary</v>
      </c>
      <c r="N1036" s="4" t="s">
        <v>26</v>
      </c>
      <c r="O1036" s="41"/>
      <c r="P1036">
        <v>1</v>
      </c>
      <c r="Q1036" t="s">
        <v>174</v>
      </c>
    </row>
    <row r="1037" spans="1:17" x14ac:dyDescent="0.35">
      <c r="A1037" s="4">
        <v>5251</v>
      </c>
      <c r="B1037" s="5">
        <v>33324</v>
      </c>
      <c r="C1037" s="5">
        <v>44067</v>
      </c>
      <c r="D1037" s="4">
        <v>29</v>
      </c>
      <c r="E1037" s="6" t="str" cm="1">
        <f t="array" ref="E1037">_xlfn.IFS(D1037&lt;=5,"Newcomer",AND(D1037&gt;=6,D1037&lt;=10),"Proficient",D1037&gt;10,"Expert")</f>
        <v>Expert</v>
      </c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 t="str" cm="1">
        <f t="array" ref="M1037">_xlfn.IFS(L1037="Retirement","Voluntary",L1037="Resignation","Voluntary",L1037="Layoff","InVoluntary")</f>
        <v>Voluntary</v>
      </c>
      <c r="N1037" s="4" t="s">
        <v>26</v>
      </c>
      <c r="O1037" s="41"/>
      <c r="P1037">
        <v>1</v>
      </c>
      <c r="Q1037" t="s">
        <v>173</v>
      </c>
    </row>
    <row r="1038" spans="1:17" x14ac:dyDescent="0.35">
      <c r="A1038" s="4">
        <v>5263</v>
      </c>
      <c r="B1038" s="5">
        <v>38511</v>
      </c>
      <c r="C1038" s="5">
        <v>44040</v>
      </c>
      <c r="D1038" s="4">
        <v>15</v>
      </c>
      <c r="E1038" s="6" t="str" cm="1">
        <f t="array" ref="E1038">_xlfn.IFS(D1038&lt;=5,"Newcomer",AND(D1038&gt;=6,D1038&lt;=10),"Proficient",D1038&gt;10,"Expert")</f>
        <v>Expert</v>
      </c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 t="str" cm="1">
        <f t="array" ref="M1038">_xlfn.IFS(L1038="Retirement","Voluntary",L1038="Resignation","Voluntary",L1038="Layoff","InVoluntary")</f>
        <v>Voluntary</v>
      </c>
      <c r="N1038" s="4" t="s">
        <v>26</v>
      </c>
      <c r="O1038" s="41"/>
      <c r="P1038">
        <v>1</v>
      </c>
      <c r="Q1038" t="s">
        <v>173</v>
      </c>
    </row>
    <row r="1039" spans="1:17" x14ac:dyDescent="0.35">
      <c r="A1039" s="4">
        <v>5279</v>
      </c>
      <c r="B1039" s="5">
        <v>40953</v>
      </c>
      <c r="C1039" s="5">
        <v>44047</v>
      </c>
      <c r="D1039" s="4">
        <v>8</v>
      </c>
      <c r="E1039" s="6" t="str" cm="1">
        <f t="array" ref="E1039">_xlfn.IFS(D1039&lt;=5,"Newcomer",AND(D1039&gt;=6,D1039&lt;=10),"Proficient",D1039&gt;10,"Expert")</f>
        <v>Proficient</v>
      </c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 t="str" cm="1">
        <f t="array" ref="M1039">_xlfn.IFS(L1039="Retirement","Voluntary",L1039="Resignation","Voluntary",L1039="Layoff","InVoluntary")</f>
        <v>Voluntary</v>
      </c>
      <c r="N1039" s="4" t="s">
        <v>26</v>
      </c>
      <c r="O1039" s="41"/>
      <c r="P1039">
        <v>1</v>
      </c>
      <c r="Q1039" t="s">
        <v>173</v>
      </c>
    </row>
    <row r="1040" spans="1:17" x14ac:dyDescent="0.35">
      <c r="A1040" s="4">
        <v>5288</v>
      </c>
      <c r="B1040" s="5">
        <v>33247</v>
      </c>
      <c r="C1040" s="5">
        <v>44071</v>
      </c>
      <c r="D1040" s="4">
        <v>29</v>
      </c>
      <c r="E1040" s="6" t="str" cm="1">
        <f t="array" ref="E1040">_xlfn.IFS(D1040&lt;=5,"Newcomer",AND(D1040&gt;=6,D1040&lt;=10),"Proficient",D1040&gt;10,"Expert")</f>
        <v>Expert</v>
      </c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 t="str" cm="1">
        <f t="array" ref="M1040">_xlfn.IFS(L1040="Retirement","Voluntary",L1040="Resignation","Voluntary",L1040="Layoff","InVoluntary")</f>
        <v>InVoluntary</v>
      </c>
      <c r="N1040" s="4" t="s">
        <v>26</v>
      </c>
      <c r="O1040" s="41"/>
      <c r="P1040">
        <v>1</v>
      </c>
      <c r="Q1040" t="s">
        <v>174</v>
      </c>
    </row>
    <row r="1041" spans="1:17" x14ac:dyDescent="0.35">
      <c r="A1041" s="4">
        <v>5303</v>
      </c>
      <c r="B1041" s="5">
        <v>38503</v>
      </c>
      <c r="C1041" s="5">
        <v>44076</v>
      </c>
      <c r="D1041" s="4">
        <v>15</v>
      </c>
      <c r="E1041" s="6" t="str" cm="1">
        <f t="array" ref="E1041">_xlfn.IFS(D1041&lt;=5,"Newcomer",AND(D1041&gt;=6,D1041&lt;=10),"Proficient",D1041&gt;10,"Expert")</f>
        <v>Expert</v>
      </c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 t="str" cm="1">
        <f t="array" ref="M1041">_xlfn.IFS(L1041="Retirement","Voluntary",L1041="Resignation","Voluntary",L1041="Layoff","InVoluntary")</f>
        <v>Voluntary</v>
      </c>
      <c r="N1041" s="4" t="s">
        <v>26</v>
      </c>
      <c r="O1041" s="41"/>
      <c r="P1041">
        <v>1</v>
      </c>
      <c r="Q1041" t="s">
        <v>173</v>
      </c>
    </row>
    <row r="1042" spans="1:17" x14ac:dyDescent="0.35">
      <c r="A1042" s="4">
        <v>5347</v>
      </c>
      <c r="B1042" s="5">
        <v>34744</v>
      </c>
      <c r="C1042" s="5">
        <v>44106</v>
      </c>
      <c r="D1042" s="4">
        <v>25</v>
      </c>
      <c r="E1042" s="6" t="str" cm="1">
        <f t="array" ref="E1042">_xlfn.IFS(D1042&lt;=5,"Newcomer",AND(D1042&gt;=6,D1042&lt;=10),"Proficient",D1042&gt;10,"Expert")</f>
        <v>Expert</v>
      </c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 t="str" cm="1">
        <f t="array" ref="M1042">_xlfn.IFS(L1042="Retirement","Voluntary",L1042="Resignation","Voluntary",L1042="Layoff","InVoluntary")</f>
        <v>Voluntary</v>
      </c>
      <c r="N1042" s="4" t="s">
        <v>26</v>
      </c>
      <c r="O1042" s="41"/>
      <c r="P1042">
        <v>1</v>
      </c>
      <c r="Q1042" t="s">
        <v>173</v>
      </c>
    </row>
    <row r="1043" spans="1:17" x14ac:dyDescent="0.35">
      <c r="A1043" s="4">
        <v>5356</v>
      </c>
      <c r="B1043" s="5">
        <v>37350</v>
      </c>
      <c r="C1043" s="5">
        <v>43926</v>
      </c>
      <c r="D1043" s="4">
        <v>18</v>
      </c>
      <c r="E1043" s="6" t="str" cm="1">
        <f t="array" ref="E1043">_xlfn.IFS(D1043&lt;=5,"Newcomer",AND(D1043&gt;=6,D1043&lt;=10),"Proficient",D1043&gt;10,"Expert")</f>
        <v>Expert</v>
      </c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 t="str" cm="1">
        <f t="array" ref="M1043">_xlfn.IFS(L1043="Retirement","Voluntary",L1043="Resignation","Voluntary",L1043="Layoff","InVoluntary")</f>
        <v>Voluntary</v>
      </c>
      <c r="N1043" s="4" t="s">
        <v>26</v>
      </c>
      <c r="O1043" s="41"/>
      <c r="P1043">
        <v>1</v>
      </c>
      <c r="Q1043" t="s">
        <v>173</v>
      </c>
    </row>
    <row r="1044" spans="1:17" x14ac:dyDescent="0.35">
      <c r="A1044" s="4">
        <v>5357</v>
      </c>
      <c r="B1044" s="5">
        <v>38840</v>
      </c>
      <c r="C1044" s="5">
        <v>43944</v>
      </c>
      <c r="D1044" s="4">
        <v>14</v>
      </c>
      <c r="E1044" s="6" t="str" cm="1">
        <f t="array" ref="E1044">_xlfn.IFS(D1044&lt;=5,"Newcomer",AND(D1044&gt;=6,D1044&lt;=10),"Proficient",D1044&gt;10,"Expert")</f>
        <v>Expert</v>
      </c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 t="str" cm="1">
        <f t="array" ref="M1044">_xlfn.IFS(L1044="Retirement","Voluntary",L1044="Resignation","Voluntary",L1044="Layoff","InVoluntary")</f>
        <v>Voluntary</v>
      </c>
      <c r="N1044" s="4" t="s">
        <v>26</v>
      </c>
      <c r="O1044" s="41"/>
      <c r="P1044">
        <v>1</v>
      </c>
      <c r="Q1044" t="s">
        <v>173</v>
      </c>
    </row>
    <row r="1045" spans="1:17" x14ac:dyDescent="0.35">
      <c r="A1045" s="4">
        <v>5361</v>
      </c>
      <c r="B1045" s="5">
        <v>38353</v>
      </c>
      <c r="C1045" s="5">
        <v>44143</v>
      </c>
      <c r="D1045" s="4">
        <v>15</v>
      </c>
      <c r="E1045" s="6" t="str" cm="1">
        <f t="array" ref="E1045">_xlfn.IFS(D1045&lt;=5,"Newcomer",AND(D1045&gt;=6,D1045&lt;=10),"Proficient",D1045&gt;10,"Expert")</f>
        <v>Expert</v>
      </c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 t="str" cm="1">
        <f t="array" ref="M1045">_xlfn.IFS(L1045="Retirement","Voluntary",L1045="Resignation","Voluntary",L1045="Layoff","InVoluntary")</f>
        <v>InVoluntary</v>
      </c>
      <c r="N1045" s="4" t="s">
        <v>26</v>
      </c>
      <c r="O1045" s="41"/>
      <c r="P1045">
        <v>1</v>
      </c>
      <c r="Q1045" t="s">
        <v>174</v>
      </c>
    </row>
    <row r="1046" spans="1:17" x14ac:dyDescent="0.35">
      <c r="A1046" s="4">
        <v>5366</v>
      </c>
      <c r="B1046" s="5">
        <v>41025</v>
      </c>
      <c r="C1046" s="5">
        <v>43849</v>
      </c>
      <c r="D1046" s="4">
        <v>8</v>
      </c>
      <c r="E1046" s="6" t="str" cm="1">
        <f t="array" ref="E1046">_xlfn.IFS(D1046&lt;=5,"Newcomer",AND(D1046&gt;=6,D1046&lt;=10),"Proficient",D1046&gt;10,"Expert")</f>
        <v>Proficient</v>
      </c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 t="str" cm="1">
        <f t="array" ref="M1046">_xlfn.IFS(L1046="Retirement","Voluntary",L1046="Resignation","Voluntary",L1046="Layoff","InVoluntary")</f>
        <v>Voluntary</v>
      </c>
      <c r="N1046" s="4" t="s">
        <v>26</v>
      </c>
      <c r="O1046" s="41"/>
      <c r="P1046">
        <v>1</v>
      </c>
      <c r="Q1046" t="s">
        <v>173</v>
      </c>
    </row>
    <row r="1047" spans="1:17" x14ac:dyDescent="0.35">
      <c r="A1047" s="4">
        <v>5387</v>
      </c>
      <c r="B1047" s="5">
        <v>36550</v>
      </c>
      <c r="C1047" s="5">
        <v>44090</v>
      </c>
      <c r="D1047" s="4">
        <v>20</v>
      </c>
      <c r="E1047" s="6" t="str" cm="1">
        <f t="array" ref="E1047">_xlfn.IFS(D1047&lt;=5,"Newcomer",AND(D1047&gt;=6,D1047&lt;=10),"Proficient",D1047&gt;10,"Expert")</f>
        <v>Expert</v>
      </c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 t="str" cm="1">
        <f t="array" ref="M1047">_xlfn.IFS(L1047="Retirement","Voluntary",L1047="Resignation","Voluntary",L1047="Layoff","InVoluntary")</f>
        <v>InVoluntary</v>
      </c>
      <c r="N1047" s="4" t="s">
        <v>26</v>
      </c>
      <c r="O1047" s="41"/>
      <c r="P1047">
        <v>1</v>
      </c>
      <c r="Q1047" t="s">
        <v>174</v>
      </c>
    </row>
    <row r="1048" spans="1:17" x14ac:dyDescent="0.35">
      <c r="A1048" s="4">
        <v>5399</v>
      </c>
      <c r="B1048" s="5">
        <v>39610</v>
      </c>
      <c r="C1048" s="5">
        <v>43944</v>
      </c>
      <c r="D1048" s="4">
        <v>12</v>
      </c>
      <c r="E1048" s="6" t="str" cm="1">
        <f t="array" ref="E1048">_xlfn.IFS(D1048&lt;=5,"Newcomer",AND(D1048&gt;=6,D1048&lt;=10),"Proficient",D1048&gt;10,"Expert")</f>
        <v>Expert</v>
      </c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 t="str" cm="1">
        <f t="array" ref="M1048">_xlfn.IFS(L1048="Retirement","Voluntary",L1048="Resignation","Voluntary",L1048="Layoff","InVoluntary")</f>
        <v>Voluntary</v>
      </c>
      <c r="N1048" s="4" t="s">
        <v>26</v>
      </c>
      <c r="O1048" s="41"/>
      <c r="P1048">
        <v>1</v>
      </c>
      <c r="Q1048" t="s">
        <v>173</v>
      </c>
    </row>
    <row r="1049" spans="1:17" x14ac:dyDescent="0.35">
      <c r="A1049" s="4">
        <v>5407</v>
      </c>
      <c r="B1049" s="5">
        <v>35738</v>
      </c>
      <c r="C1049" s="5">
        <v>44065</v>
      </c>
      <c r="D1049" s="4">
        <v>23</v>
      </c>
      <c r="E1049" s="6" t="str" cm="1">
        <f t="array" ref="E1049">_xlfn.IFS(D1049&lt;=5,"Newcomer",AND(D1049&gt;=6,D1049&lt;=10),"Proficient",D1049&gt;10,"Expert")</f>
        <v>Expert</v>
      </c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 t="str" cm="1">
        <f t="array" ref="M1049">_xlfn.IFS(L1049="Retirement","Voluntary",L1049="Resignation","Voluntary",L1049="Layoff","InVoluntary")</f>
        <v>Voluntary</v>
      </c>
      <c r="N1049" s="4" t="s">
        <v>26</v>
      </c>
      <c r="O1049" s="41"/>
      <c r="P1049">
        <v>1</v>
      </c>
      <c r="Q1049" t="s">
        <v>173</v>
      </c>
    </row>
    <row r="1050" spans="1:17" x14ac:dyDescent="0.35">
      <c r="A1050" s="4">
        <v>5416</v>
      </c>
      <c r="B1050" s="5">
        <v>36571</v>
      </c>
      <c r="C1050" s="5">
        <v>43909</v>
      </c>
      <c r="D1050" s="4">
        <v>20</v>
      </c>
      <c r="E1050" s="6" t="str" cm="1">
        <f t="array" ref="E1050">_xlfn.IFS(D1050&lt;=5,"Newcomer",AND(D1050&gt;=6,D1050&lt;=10),"Proficient",D1050&gt;10,"Expert")</f>
        <v>Expert</v>
      </c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 t="str" cm="1">
        <f t="array" ref="M1050">_xlfn.IFS(L1050="Retirement","Voluntary",L1050="Resignation","Voluntary",L1050="Layoff","InVoluntary")</f>
        <v>Voluntary</v>
      </c>
      <c r="N1050" s="4" t="s">
        <v>26</v>
      </c>
      <c r="O1050" s="41"/>
      <c r="P1050">
        <v>1</v>
      </c>
      <c r="Q1050" t="s">
        <v>173</v>
      </c>
    </row>
    <row r="1051" spans="1:17" x14ac:dyDescent="0.35">
      <c r="A1051" s="4">
        <v>5421</v>
      </c>
      <c r="B1051" s="5">
        <v>36023</v>
      </c>
      <c r="C1051" s="5">
        <v>43899</v>
      </c>
      <c r="D1051" s="4">
        <v>22</v>
      </c>
      <c r="E1051" s="6" t="str" cm="1">
        <f t="array" ref="E1051">_xlfn.IFS(D1051&lt;=5,"Newcomer",AND(D1051&gt;=6,D1051&lt;=10),"Proficient",D1051&gt;10,"Expert")</f>
        <v>Expert</v>
      </c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 t="str" cm="1">
        <f t="array" ref="M1051">_xlfn.IFS(L1051="Retirement","Voluntary",L1051="Resignation","Voluntary",L1051="Layoff","InVoluntary")</f>
        <v>Voluntary</v>
      </c>
      <c r="N1051" s="4" t="s">
        <v>26</v>
      </c>
      <c r="O1051" s="41"/>
      <c r="P1051">
        <v>1</v>
      </c>
      <c r="Q1051" t="s">
        <v>173</v>
      </c>
    </row>
    <row r="1052" spans="1:17" x14ac:dyDescent="0.35">
      <c r="A1052" s="4">
        <v>5429</v>
      </c>
      <c r="B1052" s="5">
        <v>36319</v>
      </c>
      <c r="C1052" s="5">
        <v>44186</v>
      </c>
      <c r="D1052" s="4">
        <v>21</v>
      </c>
      <c r="E1052" s="6" t="str" cm="1">
        <f t="array" ref="E1052">_xlfn.IFS(D1052&lt;=5,"Newcomer",AND(D1052&gt;=6,D1052&lt;=10),"Proficient",D1052&gt;10,"Expert")</f>
        <v>Expert</v>
      </c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 t="str" cm="1">
        <f t="array" ref="M1052">_xlfn.IFS(L1052="Retirement","Voluntary",L1052="Resignation","Voluntary",L1052="Layoff","InVoluntary")</f>
        <v>InVoluntary</v>
      </c>
      <c r="N1052" s="4" t="s">
        <v>26</v>
      </c>
      <c r="O1052" s="41"/>
      <c r="P1052">
        <v>1</v>
      </c>
      <c r="Q1052" t="s">
        <v>174</v>
      </c>
    </row>
    <row r="1053" spans="1:17" x14ac:dyDescent="0.35">
      <c r="A1053" s="4">
        <v>5462</v>
      </c>
      <c r="B1053" s="5">
        <v>41864</v>
      </c>
      <c r="C1053" s="5">
        <v>44079</v>
      </c>
      <c r="D1053" s="4">
        <v>6</v>
      </c>
      <c r="E1053" s="6" t="str" cm="1">
        <f t="array" ref="E1053">_xlfn.IFS(D1053&lt;=5,"Newcomer",AND(D1053&gt;=6,D1053&lt;=10),"Proficient",D1053&gt;10,"Expert")</f>
        <v>Proficient</v>
      </c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 t="str" cm="1">
        <f t="array" ref="M1053">_xlfn.IFS(L1053="Retirement","Voluntary",L1053="Resignation","Voluntary",L1053="Layoff","InVoluntary")</f>
        <v>InVoluntary</v>
      </c>
      <c r="N1053" s="4" t="s">
        <v>26</v>
      </c>
      <c r="O1053" s="41"/>
      <c r="P1053">
        <v>1</v>
      </c>
      <c r="Q1053" t="s">
        <v>174</v>
      </c>
    </row>
    <row r="1054" spans="1:17" x14ac:dyDescent="0.35">
      <c r="A1054" s="4">
        <v>5475</v>
      </c>
      <c r="B1054" s="5">
        <v>35769</v>
      </c>
      <c r="C1054" s="5">
        <v>43927</v>
      </c>
      <c r="D1054" s="4">
        <v>23</v>
      </c>
      <c r="E1054" s="6" t="str" cm="1">
        <f t="array" ref="E1054">_xlfn.IFS(D1054&lt;=5,"Newcomer",AND(D1054&gt;=6,D1054&lt;=10),"Proficient",D1054&gt;10,"Expert")</f>
        <v>Expert</v>
      </c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 t="str" cm="1">
        <f t="array" ref="M1054">_xlfn.IFS(L1054="Retirement","Voluntary",L1054="Resignation","Voluntary",L1054="Layoff","InVoluntary")</f>
        <v>Voluntary</v>
      </c>
      <c r="N1054" s="4" t="s">
        <v>26</v>
      </c>
      <c r="O1054" s="41"/>
      <c r="P1054">
        <v>1</v>
      </c>
      <c r="Q1054" t="s">
        <v>173</v>
      </c>
    </row>
    <row r="1055" spans="1:17" x14ac:dyDescent="0.35">
      <c r="A1055" s="4">
        <v>5476</v>
      </c>
      <c r="B1055" s="5">
        <v>40949</v>
      </c>
      <c r="C1055" s="5">
        <v>43915</v>
      </c>
      <c r="D1055" s="4">
        <v>8</v>
      </c>
      <c r="E1055" s="6" t="str" cm="1">
        <f t="array" ref="E1055">_xlfn.IFS(D1055&lt;=5,"Newcomer",AND(D1055&gt;=6,D1055&lt;=10),"Proficient",D1055&gt;10,"Expert")</f>
        <v>Proficient</v>
      </c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 t="str" cm="1">
        <f t="array" ref="M1055">_xlfn.IFS(L1055="Retirement","Voluntary",L1055="Resignation","Voluntary",L1055="Layoff","InVoluntary")</f>
        <v>Voluntary</v>
      </c>
      <c r="N1055" s="4" t="s">
        <v>26</v>
      </c>
      <c r="O1055" s="41"/>
      <c r="P1055">
        <v>1</v>
      </c>
      <c r="Q1055" t="s">
        <v>173</v>
      </c>
    </row>
    <row r="1056" spans="1:17" x14ac:dyDescent="0.35">
      <c r="A1056" s="4">
        <v>5477</v>
      </c>
      <c r="B1056" s="5">
        <v>33716</v>
      </c>
      <c r="C1056" s="5">
        <v>43973</v>
      </c>
      <c r="D1056" s="4">
        <v>28</v>
      </c>
      <c r="E1056" s="6" t="str" cm="1">
        <f t="array" ref="E1056">_xlfn.IFS(D1056&lt;=5,"Newcomer",AND(D1056&gt;=6,D1056&lt;=10),"Proficient",D1056&gt;10,"Expert")</f>
        <v>Expert</v>
      </c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 t="str" cm="1">
        <f t="array" ref="M1056">_xlfn.IFS(L1056="Retirement","Voluntary",L1056="Resignation","Voluntary",L1056="Layoff","InVoluntary")</f>
        <v>InVoluntary</v>
      </c>
      <c r="N1056" s="4" t="s">
        <v>26</v>
      </c>
      <c r="O1056" s="41"/>
      <c r="P1056">
        <v>1</v>
      </c>
      <c r="Q1056" t="s">
        <v>174</v>
      </c>
    </row>
    <row r="1057" spans="1:17" x14ac:dyDescent="0.35">
      <c r="A1057" s="4">
        <v>5481</v>
      </c>
      <c r="B1057" s="5">
        <v>37270</v>
      </c>
      <c r="C1057" s="5">
        <v>43946</v>
      </c>
      <c r="D1057" s="4">
        <v>18</v>
      </c>
      <c r="E1057" s="6" t="str" cm="1">
        <f t="array" ref="E1057">_xlfn.IFS(D1057&lt;=5,"Newcomer",AND(D1057&gt;=6,D1057&lt;=10),"Proficient",D1057&gt;10,"Expert")</f>
        <v>Expert</v>
      </c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 t="str" cm="1">
        <f t="array" ref="M1057">_xlfn.IFS(L1057="Retirement","Voluntary",L1057="Resignation","Voluntary",L1057="Layoff","InVoluntary")</f>
        <v>Voluntary</v>
      </c>
      <c r="N1057" s="4" t="s">
        <v>26</v>
      </c>
      <c r="O1057" s="41"/>
      <c r="P1057">
        <v>1</v>
      </c>
      <c r="Q1057" t="s">
        <v>173</v>
      </c>
    </row>
    <row r="1058" spans="1:17" x14ac:dyDescent="0.35">
      <c r="A1058" s="4">
        <v>5502</v>
      </c>
      <c r="B1058" s="5">
        <v>40251</v>
      </c>
      <c r="C1058" s="5">
        <v>43832</v>
      </c>
      <c r="D1058" s="4">
        <v>10</v>
      </c>
      <c r="E1058" s="6" t="str" cm="1">
        <f t="array" ref="E1058">_xlfn.IFS(D1058&lt;=5,"Newcomer",AND(D1058&gt;=6,D1058&lt;=10),"Proficient",D1058&gt;10,"Expert")</f>
        <v>Proficient</v>
      </c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 t="str" cm="1">
        <f t="array" ref="M1058">_xlfn.IFS(L1058="Retirement","Voluntary",L1058="Resignation","Voluntary",L1058="Layoff","InVoluntary")</f>
        <v>Voluntary</v>
      </c>
      <c r="N1058" s="4" t="s">
        <v>26</v>
      </c>
      <c r="O1058" s="41"/>
      <c r="P1058">
        <v>1</v>
      </c>
      <c r="Q1058" t="s">
        <v>173</v>
      </c>
    </row>
    <row r="1059" spans="1:17" x14ac:dyDescent="0.35">
      <c r="A1059" s="4">
        <v>5509</v>
      </c>
      <c r="B1059" s="5">
        <v>36446</v>
      </c>
      <c r="C1059" s="5">
        <v>44097</v>
      </c>
      <c r="D1059" s="4">
        <v>21</v>
      </c>
      <c r="E1059" s="6" t="str" cm="1">
        <f t="array" ref="E1059">_xlfn.IFS(D1059&lt;=5,"Newcomer",AND(D1059&gt;=6,D1059&lt;=10),"Proficient",D1059&gt;10,"Expert")</f>
        <v>Expert</v>
      </c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 t="str" cm="1">
        <f t="array" ref="M1059">_xlfn.IFS(L1059="Retirement","Voluntary",L1059="Resignation","Voluntary",L1059="Layoff","InVoluntary")</f>
        <v>InVoluntary</v>
      </c>
      <c r="N1059" s="4" t="s">
        <v>26</v>
      </c>
      <c r="O1059" s="41"/>
      <c r="P1059">
        <v>1</v>
      </c>
      <c r="Q1059" t="s">
        <v>174</v>
      </c>
    </row>
    <row r="1060" spans="1:17" x14ac:dyDescent="0.35">
      <c r="A1060" s="4">
        <v>5517</v>
      </c>
      <c r="B1060" s="5">
        <v>37664</v>
      </c>
      <c r="C1060" s="5">
        <v>43958</v>
      </c>
      <c r="D1060" s="4">
        <v>17</v>
      </c>
      <c r="E1060" s="6" t="str" cm="1">
        <f t="array" ref="E1060">_xlfn.IFS(D1060&lt;=5,"Newcomer",AND(D1060&gt;=6,D1060&lt;=10),"Proficient",D1060&gt;10,"Expert")</f>
        <v>Expert</v>
      </c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 t="str" cm="1">
        <f t="array" ref="M1060">_xlfn.IFS(L1060="Retirement","Voluntary",L1060="Resignation","Voluntary",L1060="Layoff","InVoluntary")</f>
        <v>InVoluntary</v>
      </c>
      <c r="N1060" s="4" t="s">
        <v>26</v>
      </c>
      <c r="O1060" s="41"/>
      <c r="P1060">
        <v>1</v>
      </c>
      <c r="Q1060" t="s">
        <v>174</v>
      </c>
    </row>
    <row r="1061" spans="1:17" x14ac:dyDescent="0.35">
      <c r="A1061" s="4">
        <v>5520</v>
      </c>
      <c r="B1061" s="5">
        <v>37380</v>
      </c>
      <c r="C1061" s="5">
        <v>44144</v>
      </c>
      <c r="D1061" s="4">
        <v>18</v>
      </c>
      <c r="E1061" s="6" t="str" cm="1">
        <f t="array" ref="E1061">_xlfn.IFS(D1061&lt;=5,"Newcomer",AND(D1061&gt;=6,D1061&lt;=10),"Proficient",D1061&gt;10,"Expert")</f>
        <v>Expert</v>
      </c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 t="str" cm="1">
        <f t="array" ref="M1061">_xlfn.IFS(L1061="Retirement","Voluntary",L1061="Resignation","Voluntary",L1061="Layoff","InVoluntary")</f>
        <v>Voluntary</v>
      </c>
      <c r="N1061" s="4" t="s">
        <v>26</v>
      </c>
      <c r="O1061" s="41"/>
      <c r="P1061">
        <v>1</v>
      </c>
      <c r="Q1061" t="s">
        <v>173</v>
      </c>
    </row>
    <row r="1062" spans="1:17" x14ac:dyDescent="0.35">
      <c r="A1062" s="4">
        <v>5536</v>
      </c>
      <c r="B1062" s="5">
        <v>40783</v>
      </c>
      <c r="C1062" s="5">
        <v>43973</v>
      </c>
      <c r="D1062" s="4">
        <v>9</v>
      </c>
      <c r="E1062" s="6" t="str" cm="1">
        <f t="array" ref="E1062">_xlfn.IFS(D1062&lt;=5,"Newcomer",AND(D1062&gt;=6,D1062&lt;=10),"Proficient",D1062&gt;10,"Expert")</f>
        <v>Proficient</v>
      </c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 t="str" cm="1">
        <f t="array" ref="M1062">_xlfn.IFS(L1062="Retirement","Voluntary",L1062="Resignation","Voluntary",L1062="Layoff","InVoluntary")</f>
        <v>Voluntary</v>
      </c>
      <c r="N1062" s="4" t="s">
        <v>26</v>
      </c>
      <c r="O1062" s="41"/>
      <c r="P1062">
        <v>1</v>
      </c>
      <c r="Q1062" t="s">
        <v>173</v>
      </c>
    </row>
    <row r="1063" spans="1:17" x14ac:dyDescent="0.35">
      <c r="A1063" s="4">
        <v>5569</v>
      </c>
      <c r="B1063" s="5">
        <v>39371</v>
      </c>
      <c r="C1063" s="5">
        <v>44173</v>
      </c>
      <c r="D1063" s="4">
        <v>13</v>
      </c>
      <c r="E1063" s="6" t="str" cm="1">
        <f t="array" ref="E1063">_xlfn.IFS(D1063&lt;=5,"Newcomer",AND(D1063&gt;=6,D1063&lt;=10),"Proficient",D1063&gt;10,"Expert")</f>
        <v>Expert</v>
      </c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 t="str" cm="1">
        <f t="array" ref="M1063">_xlfn.IFS(L1063="Retirement","Voluntary",L1063="Resignation","Voluntary",L1063="Layoff","InVoluntary")</f>
        <v>Voluntary</v>
      </c>
      <c r="N1063" s="4" t="s">
        <v>26</v>
      </c>
      <c r="O1063" s="41"/>
      <c r="P1063">
        <v>1</v>
      </c>
      <c r="Q1063" t="s">
        <v>173</v>
      </c>
    </row>
    <row r="1064" spans="1:17" x14ac:dyDescent="0.35">
      <c r="A1064" s="4">
        <v>5570</v>
      </c>
      <c r="B1064" s="5">
        <v>40560</v>
      </c>
      <c r="C1064" s="5">
        <v>44018</v>
      </c>
      <c r="D1064" s="4">
        <v>9</v>
      </c>
      <c r="E1064" s="6" t="str" cm="1">
        <f t="array" ref="E1064">_xlfn.IFS(D1064&lt;=5,"Newcomer",AND(D1064&gt;=6,D1064&lt;=10),"Proficient",D1064&gt;10,"Expert")</f>
        <v>Proficient</v>
      </c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 t="str" cm="1">
        <f t="array" ref="M1064">_xlfn.IFS(L1064="Retirement","Voluntary",L1064="Resignation","Voluntary",L1064="Layoff","InVoluntary")</f>
        <v>Voluntary</v>
      </c>
      <c r="N1064" s="4" t="s">
        <v>26</v>
      </c>
      <c r="O1064" s="41"/>
      <c r="P1064">
        <v>1</v>
      </c>
      <c r="Q1064" t="s">
        <v>173</v>
      </c>
    </row>
    <row r="1065" spans="1:17" x14ac:dyDescent="0.35">
      <c r="A1065" s="4">
        <v>5583</v>
      </c>
      <c r="B1065" s="5">
        <v>37292</v>
      </c>
      <c r="C1065" s="5">
        <v>43916</v>
      </c>
      <c r="D1065" s="4">
        <v>18</v>
      </c>
      <c r="E1065" s="6" t="str" cm="1">
        <f t="array" ref="E1065">_xlfn.IFS(D1065&lt;=5,"Newcomer",AND(D1065&gt;=6,D1065&lt;=10),"Proficient",D1065&gt;10,"Expert")</f>
        <v>Expert</v>
      </c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 t="str" cm="1">
        <f t="array" ref="M1065">_xlfn.IFS(L1065="Retirement","Voluntary",L1065="Resignation","Voluntary",L1065="Layoff","InVoluntary")</f>
        <v>InVoluntary</v>
      </c>
      <c r="N1065" s="4" t="s">
        <v>26</v>
      </c>
      <c r="O1065" s="41"/>
      <c r="P1065">
        <v>1</v>
      </c>
      <c r="Q1065" t="s">
        <v>174</v>
      </c>
    </row>
    <row r="1066" spans="1:17" x14ac:dyDescent="0.35">
      <c r="A1066" s="4">
        <v>5585</v>
      </c>
      <c r="B1066" s="5">
        <v>36470</v>
      </c>
      <c r="C1066" s="5">
        <v>44164</v>
      </c>
      <c r="D1066" s="4">
        <v>21</v>
      </c>
      <c r="E1066" s="6" t="str" cm="1">
        <f t="array" ref="E1066">_xlfn.IFS(D1066&lt;=5,"Newcomer",AND(D1066&gt;=6,D1066&lt;=10),"Proficient",D1066&gt;10,"Expert")</f>
        <v>Expert</v>
      </c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 t="str" cm="1">
        <f t="array" ref="M1066">_xlfn.IFS(L1066="Retirement","Voluntary",L1066="Resignation","Voluntary",L1066="Layoff","InVoluntary")</f>
        <v>Voluntary</v>
      </c>
      <c r="N1066" s="4" t="s">
        <v>26</v>
      </c>
      <c r="O1066" s="41"/>
      <c r="P1066">
        <v>1</v>
      </c>
      <c r="Q1066" t="s">
        <v>173</v>
      </c>
    </row>
    <row r="1067" spans="1:17" x14ac:dyDescent="0.35">
      <c r="A1067" s="4">
        <v>5591</v>
      </c>
      <c r="B1067" s="5">
        <v>41889</v>
      </c>
      <c r="C1067" s="5">
        <v>44017</v>
      </c>
      <c r="D1067" s="4">
        <v>6</v>
      </c>
      <c r="E1067" s="6" t="str" cm="1">
        <f t="array" ref="E1067">_xlfn.IFS(D1067&lt;=5,"Newcomer",AND(D1067&gt;=6,D1067&lt;=10),"Proficient",D1067&gt;10,"Expert")</f>
        <v>Proficient</v>
      </c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 t="str" cm="1">
        <f t="array" ref="M1067">_xlfn.IFS(L1067="Retirement","Voluntary",L1067="Resignation","Voluntary",L1067="Layoff","InVoluntary")</f>
        <v>InVoluntary</v>
      </c>
      <c r="N1067" s="4" t="s">
        <v>26</v>
      </c>
      <c r="O1067" s="41"/>
      <c r="P1067">
        <v>1</v>
      </c>
      <c r="Q1067" t="s">
        <v>174</v>
      </c>
    </row>
    <row r="1068" spans="1:17" x14ac:dyDescent="0.35">
      <c r="A1068" s="4">
        <v>5604</v>
      </c>
      <c r="B1068" s="5">
        <v>38679</v>
      </c>
      <c r="C1068" s="5">
        <v>43856</v>
      </c>
      <c r="D1068" s="4">
        <v>15</v>
      </c>
      <c r="E1068" s="6" t="str" cm="1">
        <f t="array" ref="E1068">_xlfn.IFS(D1068&lt;=5,"Newcomer",AND(D1068&gt;=6,D1068&lt;=10),"Proficient",D1068&gt;10,"Expert")</f>
        <v>Expert</v>
      </c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 t="str" cm="1">
        <f t="array" ref="M1068">_xlfn.IFS(L1068="Retirement","Voluntary",L1068="Resignation","Voluntary",L1068="Layoff","InVoluntary")</f>
        <v>Voluntary</v>
      </c>
      <c r="N1068" s="4" t="s">
        <v>26</v>
      </c>
      <c r="O1068" s="41"/>
      <c r="P1068">
        <v>1</v>
      </c>
      <c r="Q1068" t="s">
        <v>173</v>
      </c>
    </row>
    <row r="1069" spans="1:17" x14ac:dyDescent="0.35">
      <c r="A1069" s="4">
        <v>5630</v>
      </c>
      <c r="B1069" s="5">
        <v>33999</v>
      </c>
      <c r="C1069" s="5">
        <v>44138</v>
      </c>
      <c r="D1069" s="4">
        <v>27</v>
      </c>
      <c r="E1069" s="6" t="str" cm="1">
        <f t="array" ref="E1069">_xlfn.IFS(D1069&lt;=5,"Newcomer",AND(D1069&gt;=6,D1069&lt;=10),"Proficient",D1069&gt;10,"Expert")</f>
        <v>Expert</v>
      </c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 t="str" cm="1">
        <f t="array" ref="M1069">_xlfn.IFS(L1069="Retirement","Voluntary",L1069="Resignation","Voluntary",L1069="Layoff","InVoluntary")</f>
        <v>Voluntary</v>
      </c>
      <c r="N1069" s="4" t="s">
        <v>26</v>
      </c>
      <c r="O1069" s="41"/>
      <c r="P1069">
        <v>1</v>
      </c>
      <c r="Q1069" t="s">
        <v>173</v>
      </c>
    </row>
    <row r="1070" spans="1:17" x14ac:dyDescent="0.35">
      <c r="A1070" s="4">
        <v>5652</v>
      </c>
      <c r="B1070" s="5">
        <v>37427</v>
      </c>
      <c r="C1070" s="5">
        <v>44045</v>
      </c>
      <c r="D1070" s="4">
        <v>18</v>
      </c>
      <c r="E1070" s="6" t="str" cm="1">
        <f t="array" ref="E1070">_xlfn.IFS(D1070&lt;=5,"Newcomer",AND(D1070&gt;=6,D1070&lt;=10),"Proficient",D1070&gt;10,"Expert")</f>
        <v>Expert</v>
      </c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 t="str" cm="1">
        <f t="array" ref="M1070">_xlfn.IFS(L1070="Retirement","Voluntary",L1070="Resignation","Voluntary",L1070="Layoff","InVoluntary")</f>
        <v>InVoluntary</v>
      </c>
      <c r="N1070" s="4" t="s">
        <v>26</v>
      </c>
      <c r="O1070" s="41"/>
      <c r="P1070">
        <v>1</v>
      </c>
      <c r="Q1070" t="s">
        <v>174</v>
      </c>
    </row>
    <row r="1071" spans="1:17" x14ac:dyDescent="0.35">
      <c r="A1071" s="4">
        <v>5653</v>
      </c>
      <c r="B1071" s="5">
        <v>38131</v>
      </c>
      <c r="C1071" s="5">
        <v>43854</v>
      </c>
      <c r="D1071" s="4">
        <v>16</v>
      </c>
      <c r="E1071" s="6" t="str" cm="1">
        <f t="array" ref="E1071">_xlfn.IFS(D1071&lt;=5,"Newcomer",AND(D1071&gt;=6,D1071&lt;=10),"Proficient",D1071&gt;10,"Expert")</f>
        <v>Expert</v>
      </c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 t="str" cm="1">
        <f t="array" ref="M1071">_xlfn.IFS(L1071="Retirement","Voluntary",L1071="Resignation","Voluntary",L1071="Layoff","InVoluntary")</f>
        <v>InVoluntary</v>
      </c>
      <c r="N1071" s="4" t="s">
        <v>26</v>
      </c>
      <c r="O1071" s="41"/>
      <c r="P1071">
        <v>1</v>
      </c>
      <c r="Q1071" t="s">
        <v>174</v>
      </c>
    </row>
    <row r="1072" spans="1:17" x14ac:dyDescent="0.35">
      <c r="A1072" s="4">
        <v>5654</v>
      </c>
      <c r="B1072" s="5">
        <v>35848</v>
      </c>
      <c r="C1072" s="5">
        <v>43940</v>
      </c>
      <c r="D1072" s="4">
        <v>22</v>
      </c>
      <c r="E1072" s="6" t="str" cm="1">
        <f t="array" ref="E1072">_xlfn.IFS(D1072&lt;=5,"Newcomer",AND(D1072&gt;=6,D1072&lt;=10),"Proficient",D1072&gt;10,"Expert")</f>
        <v>Expert</v>
      </c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 t="str" cm="1">
        <f t="array" ref="M1072">_xlfn.IFS(L1072="Retirement","Voluntary",L1072="Resignation","Voluntary",L1072="Layoff","InVoluntary")</f>
        <v>Voluntary</v>
      </c>
      <c r="N1072" s="4" t="s">
        <v>26</v>
      </c>
      <c r="O1072" s="41"/>
      <c r="P1072">
        <v>1</v>
      </c>
      <c r="Q1072" t="s">
        <v>173</v>
      </c>
    </row>
    <row r="1073" spans="1:17" x14ac:dyDescent="0.35">
      <c r="A1073" s="4">
        <v>5674</v>
      </c>
      <c r="B1073" s="5">
        <v>41650</v>
      </c>
      <c r="C1073" s="5">
        <v>43948</v>
      </c>
      <c r="D1073" s="4">
        <v>6</v>
      </c>
      <c r="E1073" s="6" t="str" cm="1">
        <f t="array" ref="E1073">_xlfn.IFS(D1073&lt;=5,"Newcomer",AND(D1073&gt;=6,D1073&lt;=10),"Proficient",D1073&gt;10,"Expert")</f>
        <v>Proficient</v>
      </c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 t="str" cm="1">
        <f t="array" ref="M1073">_xlfn.IFS(L1073="Retirement","Voluntary",L1073="Resignation","Voluntary",L1073="Layoff","InVoluntary")</f>
        <v>Voluntary</v>
      </c>
      <c r="N1073" s="4" t="s">
        <v>26</v>
      </c>
      <c r="O1073" s="41"/>
      <c r="P1073">
        <v>1</v>
      </c>
      <c r="Q1073" t="s">
        <v>173</v>
      </c>
    </row>
    <row r="1074" spans="1:17" x14ac:dyDescent="0.35">
      <c r="A1074" s="4">
        <v>5688</v>
      </c>
      <c r="B1074" s="5">
        <v>33203</v>
      </c>
      <c r="C1074" s="5">
        <v>43888</v>
      </c>
      <c r="D1074" s="4">
        <v>30</v>
      </c>
      <c r="E1074" s="6" t="str" cm="1">
        <f t="array" ref="E1074">_xlfn.IFS(D1074&lt;=5,"Newcomer",AND(D1074&gt;=6,D1074&lt;=10),"Proficient",D1074&gt;10,"Expert")</f>
        <v>Expert</v>
      </c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 t="str" cm="1">
        <f t="array" ref="M1074">_xlfn.IFS(L1074="Retirement","Voluntary",L1074="Resignation","Voluntary",L1074="Layoff","InVoluntary")</f>
        <v>Voluntary</v>
      </c>
      <c r="N1074" s="4" t="s">
        <v>26</v>
      </c>
      <c r="O1074" s="41"/>
      <c r="P1074">
        <v>1</v>
      </c>
      <c r="Q1074" t="s">
        <v>173</v>
      </c>
    </row>
    <row r="1075" spans="1:17" x14ac:dyDescent="0.35">
      <c r="A1075" s="4">
        <v>5696</v>
      </c>
      <c r="B1075" s="5">
        <v>39249</v>
      </c>
      <c r="C1075" s="5">
        <v>44070</v>
      </c>
      <c r="D1075" s="4">
        <v>13</v>
      </c>
      <c r="E1075" s="6" t="str" cm="1">
        <f t="array" ref="E1075">_xlfn.IFS(D1075&lt;=5,"Newcomer",AND(D1075&gt;=6,D1075&lt;=10),"Proficient",D1075&gt;10,"Expert")</f>
        <v>Expert</v>
      </c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 t="str" cm="1">
        <f t="array" ref="M1075">_xlfn.IFS(L1075="Retirement","Voluntary",L1075="Resignation","Voluntary",L1075="Layoff","InVoluntary")</f>
        <v>Voluntary</v>
      </c>
      <c r="N1075" s="4" t="s">
        <v>26</v>
      </c>
      <c r="O1075" s="41"/>
      <c r="P1075">
        <v>1</v>
      </c>
      <c r="Q1075" t="s">
        <v>173</v>
      </c>
    </row>
    <row r="1076" spans="1:17" x14ac:dyDescent="0.35">
      <c r="A1076" s="4">
        <v>5716</v>
      </c>
      <c r="B1076" s="5">
        <v>36332</v>
      </c>
      <c r="C1076" s="5">
        <v>44184</v>
      </c>
      <c r="D1076" s="4">
        <v>21</v>
      </c>
      <c r="E1076" s="6" t="str" cm="1">
        <f t="array" ref="E1076">_xlfn.IFS(D1076&lt;=5,"Newcomer",AND(D1076&gt;=6,D1076&lt;=10),"Proficient",D1076&gt;10,"Expert")</f>
        <v>Expert</v>
      </c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 t="str" cm="1">
        <f t="array" ref="M1076">_xlfn.IFS(L1076="Retirement","Voluntary",L1076="Resignation","Voluntary",L1076="Layoff","InVoluntary")</f>
        <v>InVoluntary</v>
      </c>
      <c r="N1076" s="4" t="s">
        <v>26</v>
      </c>
      <c r="O1076" s="41"/>
      <c r="P1076">
        <v>1</v>
      </c>
      <c r="Q1076" t="s">
        <v>174</v>
      </c>
    </row>
    <row r="1077" spans="1:17" x14ac:dyDescent="0.35">
      <c r="A1077" s="4">
        <v>5724</v>
      </c>
      <c r="B1077" s="5">
        <v>38199</v>
      </c>
      <c r="C1077" s="5">
        <v>44129</v>
      </c>
      <c r="D1077" s="4">
        <v>16</v>
      </c>
      <c r="E1077" s="6" t="str" cm="1">
        <f t="array" ref="E1077">_xlfn.IFS(D1077&lt;=5,"Newcomer",AND(D1077&gt;=6,D1077&lt;=10),"Proficient",D1077&gt;10,"Expert")</f>
        <v>Expert</v>
      </c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 t="str" cm="1">
        <f t="array" ref="M1077">_xlfn.IFS(L1077="Retirement","Voluntary",L1077="Resignation","Voluntary",L1077="Layoff","InVoluntary")</f>
        <v>InVoluntary</v>
      </c>
      <c r="N1077" s="4" t="s">
        <v>26</v>
      </c>
      <c r="O1077" s="41"/>
      <c r="P1077">
        <v>1</v>
      </c>
      <c r="Q1077" t="s">
        <v>174</v>
      </c>
    </row>
    <row r="1078" spans="1:17" x14ac:dyDescent="0.35">
      <c r="A1078" s="4">
        <v>5742</v>
      </c>
      <c r="B1078" s="5">
        <v>40821</v>
      </c>
      <c r="C1078" s="5">
        <v>43938</v>
      </c>
      <c r="D1078" s="4">
        <v>9</v>
      </c>
      <c r="E1078" s="6" t="str" cm="1">
        <f t="array" ref="E1078">_xlfn.IFS(D1078&lt;=5,"Newcomer",AND(D1078&gt;=6,D1078&lt;=10),"Proficient",D1078&gt;10,"Expert")</f>
        <v>Proficient</v>
      </c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 t="str" cm="1">
        <f t="array" ref="M1078">_xlfn.IFS(L1078="Retirement","Voluntary",L1078="Resignation","Voluntary",L1078="Layoff","InVoluntary")</f>
        <v>Voluntary</v>
      </c>
      <c r="N1078" s="4" t="s">
        <v>26</v>
      </c>
      <c r="O1078" s="41"/>
      <c r="P1078">
        <v>1</v>
      </c>
      <c r="Q1078" t="s">
        <v>173</v>
      </c>
    </row>
    <row r="1079" spans="1:17" x14ac:dyDescent="0.35">
      <c r="A1079" s="4">
        <v>5745</v>
      </c>
      <c r="B1079" s="5">
        <v>42339</v>
      </c>
      <c r="C1079" s="5">
        <v>43899</v>
      </c>
      <c r="D1079" s="4">
        <v>5</v>
      </c>
      <c r="E1079" s="6" t="str" cm="1">
        <f t="array" ref="E1079">_xlfn.IFS(D1079&lt;=5,"Newcomer",AND(D1079&gt;=6,D1079&lt;=10),"Proficient",D1079&gt;10,"Expert")</f>
        <v>Newcomer</v>
      </c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 t="str" cm="1">
        <f t="array" ref="M1079">_xlfn.IFS(L1079="Retirement","Voluntary",L1079="Resignation","Voluntary",L1079="Layoff","InVoluntary")</f>
        <v>InVoluntary</v>
      </c>
      <c r="N1079" s="4" t="s">
        <v>26</v>
      </c>
      <c r="O1079" s="41"/>
      <c r="P1079">
        <v>1</v>
      </c>
      <c r="Q1079" t="s">
        <v>174</v>
      </c>
    </row>
    <row r="1080" spans="1:17" x14ac:dyDescent="0.35">
      <c r="A1080" s="4">
        <v>5775</v>
      </c>
      <c r="B1080" s="5">
        <v>39506</v>
      </c>
      <c r="C1080" s="5">
        <v>44139</v>
      </c>
      <c r="D1080" s="4">
        <v>12</v>
      </c>
      <c r="E1080" s="6" t="str" cm="1">
        <f t="array" ref="E1080">_xlfn.IFS(D1080&lt;=5,"Newcomer",AND(D1080&gt;=6,D1080&lt;=10),"Proficient",D1080&gt;10,"Expert")</f>
        <v>Expert</v>
      </c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 t="str" cm="1">
        <f t="array" ref="M1080">_xlfn.IFS(L1080="Retirement","Voluntary",L1080="Resignation","Voluntary",L1080="Layoff","InVoluntary")</f>
        <v>Voluntary</v>
      </c>
      <c r="N1080" s="4" t="s">
        <v>26</v>
      </c>
      <c r="O1080" s="41"/>
      <c r="P1080">
        <v>1</v>
      </c>
      <c r="Q1080" t="s">
        <v>173</v>
      </c>
    </row>
    <row r="1081" spans="1:17" x14ac:dyDescent="0.35">
      <c r="A1081" s="4">
        <v>5786</v>
      </c>
      <c r="B1081" s="5">
        <v>38801</v>
      </c>
      <c r="C1081" s="5">
        <v>44150</v>
      </c>
      <c r="D1081" s="4">
        <v>14</v>
      </c>
      <c r="E1081" s="6" t="str" cm="1">
        <f t="array" ref="E1081">_xlfn.IFS(D1081&lt;=5,"Newcomer",AND(D1081&gt;=6,D1081&lt;=10),"Proficient",D1081&gt;10,"Expert")</f>
        <v>Expert</v>
      </c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 t="str" cm="1">
        <f t="array" ref="M1081">_xlfn.IFS(L1081="Retirement","Voluntary",L1081="Resignation","Voluntary",L1081="Layoff","InVoluntary")</f>
        <v>Voluntary</v>
      </c>
      <c r="N1081" s="4" t="s">
        <v>26</v>
      </c>
      <c r="O1081" s="41"/>
      <c r="P1081">
        <v>1</v>
      </c>
      <c r="Q1081" t="s">
        <v>173</v>
      </c>
    </row>
    <row r="1082" spans="1:17" x14ac:dyDescent="0.35">
      <c r="A1082" s="4">
        <v>5836</v>
      </c>
      <c r="B1082" s="5">
        <v>33604</v>
      </c>
      <c r="C1082" s="5">
        <v>44028</v>
      </c>
      <c r="D1082" s="4">
        <v>28</v>
      </c>
      <c r="E1082" s="6" t="str" cm="1">
        <f t="array" ref="E1082">_xlfn.IFS(D1082&lt;=5,"Newcomer",AND(D1082&gt;=6,D1082&lt;=10),"Proficient",D1082&gt;10,"Expert")</f>
        <v>Expert</v>
      </c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 t="str" cm="1">
        <f t="array" ref="M1082">_xlfn.IFS(L1082="Retirement","Voluntary",L1082="Resignation","Voluntary",L1082="Layoff","InVoluntary")</f>
        <v>InVoluntary</v>
      </c>
      <c r="N1082" s="4" t="s">
        <v>26</v>
      </c>
      <c r="O1082" s="41"/>
      <c r="P1082">
        <v>1</v>
      </c>
      <c r="Q1082" t="s">
        <v>174</v>
      </c>
    </row>
    <row r="1083" spans="1:17" x14ac:dyDescent="0.35">
      <c r="A1083" s="4">
        <v>5837</v>
      </c>
      <c r="B1083" s="5">
        <v>34001</v>
      </c>
      <c r="C1083" s="5">
        <v>44032</v>
      </c>
      <c r="D1083" s="4">
        <v>27</v>
      </c>
      <c r="E1083" s="6" t="str" cm="1">
        <f t="array" ref="E1083">_xlfn.IFS(D1083&lt;=5,"Newcomer",AND(D1083&gt;=6,D1083&lt;=10),"Proficient",D1083&gt;10,"Expert")</f>
        <v>Expert</v>
      </c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 t="str" cm="1">
        <f t="array" ref="M1083">_xlfn.IFS(L1083="Retirement","Voluntary",L1083="Resignation","Voluntary",L1083="Layoff","InVoluntary")</f>
        <v>InVoluntary</v>
      </c>
      <c r="N1083" s="4" t="s">
        <v>26</v>
      </c>
      <c r="O1083" s="41"/>
      <c r="P1083">
        <v>1</v>
      </c>
      <c r="Q1083" t="s">
        <v>174</v>
      </c>
    </row>
    <row r="1084" spans="1:17" x14ac:dyDescent="0.35">
      <c r="A1084" s="4">
        <v>5843</v>
      </c>
      <c r="B1084" s="5">
        <v>35868</v>
      </c>
      <c r="C1084" s="5">
        <v>43987</v>
      </c>
      <c r="D1084" s="4">
        <v>22</v>
      </c>
      <c r="E1084" s="6" t="str" cm="1">
        <f t="array" ref="E1084">_xlfn.IFS(D1084&lt;=5,"Newcomer",AND(D1084&gt;=6,D1084&lt;=10),"Proficient",D1084&gt;10,"Expert")</f>
        <v>Expert</v>
      </c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 t="str" cm="1">
        <f t="array" ref="M1084">_xlfn.IFS(L1084="Retirement","Voluntary",L1084="Resignation","Voluntary",L1084="Layoff","InVoluntary")</f>
        <v>Voluntary</v>
      </c>
      <c r="N1084" s="4" t="s">
        <v>26</v>
      </c>
      <c r="O1084" s="41"/>
      <c r="P1084">
        <v>1</v>
      </c>
      <c r="Q1084" t="s">
        <v>173</v>
      </c>
    </row>
    <row r="1085" spans="1:17" x14ac:dyDescent="0.35">
      <c r="A1085" s="4">
        <v>5857</v>
      </c>
      <c r="B1085" s="5">
        <v>39389</v>
      </c>
      <c r="C1085" s="5">
        <v>44067</v>
      </c>
      <c r="D1085" s="4">
        <v>13</v>
      </c>
      <c r="E1085" s="6" t="str" cm="1">
        <f t="array" ref="E1085">_xlfn.IFS(D1085&lt;=5,"Newcomer",AND(D1085&gt;=6,D1085&lt;=10),"Proficient",D1085&gt;10,"Expert")</f>
        <v>Expert</v>
      </c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 t="str" cm="1">
        <f t="array" ref="M1085">_xlfn.IFS(L1085="Retirement","Voluntary",L1085="Resignation","Voluntary",L1085="Layoff","InVoluntary")</f>
        <v>Voluntary</v>
      </c>
      <c r="N1085" s="4" t="s">
        <v>26</v>
      </c>
      <c r="O1085" s="41"/>
      <c r="P1085">
        <v>1</v>
      </c>
      <c r="Q1085" t="s">
        <v>173</v>
      </c>
    </row>
    <row r="1086" spans="1:17" x14ac:dyDescent="0.35">
      <c r="A1086" s="4">
        <v>5872</v>
      </c>
      <c r="B1086" s="5">
        <v>34072</v>
      </c>
      <c r="C1086" s="5">
        <v>44081</v>
      </c>
      <c r="D1086" s="4">
        <v>27</v>
      </c>
      <c r="E1086" s="6" t="str" cm="1">
        <f t="array" ref="E1086">_xlfn.IFS(D1086&lt;=5,"Newcomer",AND(D1086&gt;=6,D1086&lt;=10),"Proficient",D1086&gt;10,"Expert")</f>
        <v>Expert</v>
      </c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 t="str" cm="1">
        <f t="array" ref="M1086">_xlfn.IFS(L1086="Retirement","Voluntary",L1086="Resignation","Voluntary",L1086="Layoff","InVoluntary")</f>
        <v>Voluntary</v>
      </c>
      <c r="N1086" s="4" t="s">
        <v>26</v>
      </c>
      <c r="O1086" s="41"/>
      <c r="P1086">
        <v>1</v>
      </c>
      <c r="Q1086" t="s">
        <v>173</v>
      </c>
    </row>
    <row r="1087" spans="1:17" x14ac:dyDescent="0.35">
      <c r="A1087" s="4">
        <v>5874</v>
      </c>
      <c r="B1087" s="5">
        <v>41054</v>
      </c>
      <c r="C1087" s="5">
        <v>44107</v>
      </c>
      <c r="D1087" s="4">
        <v>8</v>
      </c>
      <c r="E1087" s="6" t="str" cm="1">
        <f t="array" ref="E1087">_xlfn.IFS(D1087&lt;=5,"Newcomer",AND(D1087&gt;=6,D1087&lt;=10),"Proficient",D1087&gt;10,"Expert")</f>
        <v>Proficient</v>
      </c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 t="str" cm="1">
        <f t="array" ref="M1087">_xlfn.IFS(L1087="Retirement","Voluntary",L1087="Resignation","Voluntary",L1087="Layoff","InVoluntary")</f>
        <v>InVoluntary</v>
      </c>
      <c r="N1087" s="4" t="s">
        <v>26</v>
      </c>
      <c r="O1087" s="41"/>
      <c r="P1087">
        <v>1</v>
      </c>
      <c r="Q1087" t="s">
        <v>174</v>
      </c>
    </row>
    <row r="1088" spans="1:17" x14ac:dyDescent="0.35">
      <c r="A1088" s="4">
        <v>5882</v>
      </c>
      <c r="B1088" s="5">
        <v>41622</v>
      </c>
      <c r="C1088" s="5">
        <v>43990</v>
      </c>
      <c r="D1088" s="4">
        <v>7</v>
      </c>
      <c r="E1088" s="6" t="str" cm="1">
        <f t="array" ref="E1088">_xlfn.IFS(D1088&lt;=5,"Newcomer",AND(D1088&gt;=6,D1088&lt;=10),"Proficient",D1088&gt;10,"Expert")</f>
        <v>Proficient</v>
      </c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 t="str" cm="1">
        <f t="array" ref="M1088">_xlfn.IFS(L1088="Retirement","Voluntary",L1088="Resignation","Voluntary",L1088="Layoff","InVoluntary")</f>
        <v>InVoluntary</v>
      </c>
      <c r="N1088" s="4" t="s">
        <v>26</v>
      </c>
      <c r="O1088" s="41"/>
      <c r="P1088">
        <v>1</v>
      </c>
      <c r="Q1088" t="s">
        <v>174</v>
      </c>
    </row>
    <row r="1089" spans="1:17" x14ac:dyDescent="0.35">
      <c r="A1089" s="4">
        <v>5892</v>
      </c>
      <c r="B1089" s="5">
        <v>39851</v>
      </c>
      <c r="C1089" s="5">
        <v>43873</v>
      </c>
      <c r="D1089" s="4">
        <v>11</v>
      </c>
      <c r="E1089" s="6" t="str" cm="1">
        <f t="array" ref="E1089">_xlfn.IFS(D1089&lt;=5,"Newcomer",AND(D1089&gt;=6,D1089&lt;=10),"Proficient",D1089&gt;10,"Expert")</f>
        <v>Expert</v>
      </c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 t="str" cm="1">
        <f t="array" ref="M1089">_xlfn.IFS(L1089="Retirement","Voluntary",L1089="Resignation","Voluntary",L1089="Layoff","InVoluntary")</f>
        <v>Voluntary</v>
      </c>
      <c r="N1089" s="4" t="s">
        <v>26</v>
      </c>
      <c r="O1089" s="41"/>
      <c r="P1089">
        <v>1</v>
      </c>
      <c r="Q1089" t="s">
        <v>173</v>
      </c>
    </row>
    <row r="1090" spans="1:17" x14ac:dyDescent="0.35">
      <c r="A1090" s="4">
        <v>5920</v>
      </c>
      <c r="B1090" s="5">
        <v>36755</v>
      </c>
      <c r="C1090" s="5">
        <v>43887</v>
      </c>
      <c r="D1090" s="4">
        <v>20</v>
      </c>
      <c r="E1090" s="6" t="str" cm="1">
        <f t="array" ref="E1090">_xlfn.IFS(D1090&lt;=5,"Newcomer",AND(D1090&gt;=6,D1090&lt;=10),"Proficient",D1090&gt;10,"Expert")</f>
        <v>Expert</v>
      </c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 t="str" cm="1">
        <f t="array" ref="M1090">_xlfn.IFS(L1090="Retirement","Voluntary",L1090="Resignation","Voluntary",L1090="Layoff","InVoluntary")</f>
        <v>InVoluntary</v>
      </c>
      <c r="N1090" s="4" t="s">
        <v>26</v>
      </c>
      <c r="O1090" s="41"/>
      <c r="P1090">
        <v>1</v>
      </c>
      <c r="Q1090" t="s">
        <v>174</v>
      </c>
    </row>
    <row r="1091" spans="1:17" x14ac:dyDescent="0.35">
      <c r="A1091" s="4">
        <v>5930</v>
      </c>
      <c r="B1091" s="5">
        <v>42129</v>
      </c>
      <c r="C1091" s="5">
        <v>43964</v>
      </c>
      <c r="D1091" s="4">
        <v>5</v>
      </c>
      <c r="E1091" s="6" t="str" cm="1">
        <f t="array" ref="E1091">_xlfn.IFS(D1091&lt;=5,"Newcomer",AND(D1091&gt;=6,D1091&lt;=10),"Proficient",D1091&gt;10,"Expert")</f>
        <v>Newcomer</v>
      </c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 t="str" cm="1">
        <f t="array" ref="M1091">_xlfn.IFS(L1091="Retirement","Voluntary",L1091="Resignation","Voluntary",L1091="Layoff","InVoluntary")</f>
        <v>InVoluntary</v>
      </c>
      <c r="N1091" s="4" t="s">
        <v>26</v>
      </c>
      <c r="O1091" s="41"/>
      <c r="P1091">
        <v>1</v>
      </c>
      <c r="Q1091" t="s">
        <v>174</v>
      </c>
    </row>
    <row r="1092" spans="1:17" x14ac:dyDescent="0.35">
      <c r="A1092" s="4">
        <v>5942</v>
      </c>
      <c r="B1092" s="5">
        <v>36510</v>
      </c>
      <c r="C1092" s="5">
        <v>44176</v>
      </c>
      <c r="D1092" s="4">
        <v>21</v>
      </c>
      <c r="E1092" s="6" t="str" cm="1">
        <f t="array" ref="E1092">_xlfn.IFS(D1092&lt;=5,"Newcomer",AND(D1092&gt;=6,D1092&lt;=10),"Proficient",D1092&gt;10,"Expert")</f>
        <v>Expert</v>
      </c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 t="str" cm="1">
        <f t="array" ref="M1092">_xlfn.IFS(L1092="Retirement","Voluntary",L1092="Resignation","Voluntary",L1092="Layoff","InVoluntary")</f>
        <v>InVoluntary</v>
      </c>
      <c r="N1092" s="4" t="s">
        <v>26</v>
      </c>
      <c r="O1092" s="41"/>
      <c r="P1092">
        <v>1</v>
      </c>
      <c r="Q1092" t="s">
        <v>174</v>
      </c>
    </row>
    <row r="1093" spans="1:17" x14ac:dyDescent="0.35">
      <c r="A1093" s="4">
        <v>5951</v>
      </c>
      <c r="B1093" s="5">
        <v>40633</v>
      </c>
      <c r="C1093" s="5">
        <v>43972</v>
      </c>
      <c r="D1093" s="4">
        <v>9</v>
      </c>
      <c r="E1093" s="6" t="str" cm="1">
        <f t="array" ref="E1093">_xlfn.IFS(D1093&lt;=5,"Newcomer",AND(D1093&gt;=6,D1093&lt;=10),"Proficient",D1093&gt;10,"Expert")</f>
        <v>Proficient</v>
      </c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 t="str" cm="1">
        <f t="array" ref="M1093">_xlfn.IFS(L1093="Retirement","Voluntary",L1093="Resignation","Voluntary",L1093="Layoff","InVoluntary")</f>
        <v>InVoluntary</v>
      </c>
      <c r="N1093" s="4" t="s">
        <v>26</v>
      </c>
      <c r="O1093" s="41"/>
      <c r="P1093">
        <v>1</v>
      </c>
      <c r="Q1093" t="s">
        <v>174</v>
      </c>
    </row>
    <row r="1094" spans="1:17" x14ac:dyDescent="0.35">
      <c r="A1094" s="4">
        <v>5959</v>
      </c>
      <c r="B1094" s="5">
        <v>34103</v>
      </c>
      <c r="C1094" s="5">
        <v>43899</v>
      </c>
      <c r="D1094" s="4">
        <v>27</v>
      </c>
      <c r="E1094" s="6" t="str" cm="1">
        <f t="array" ref="E1094">_xlfn.IFS(D1094&lt;=5,"Newcomer",AND(D1094&gt;=6,D1094&lt;=10),"Proficient",D1094&gt;10,"Expert")</f>
        <v>Expert</v>
      </c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 t="str" cm="1">
        <f t="array" ref="M1094">_xlfn.IFS(L1094="Retirement","Voluntary",L1094="Resignation","Voluntary",L1094="Layoff","InVoluntary")</f>
        <v>InVoluntary</v>
      </c>
      <c r="N1094" s="4" t="s">
        <v>26</v>
      </c>
      <c r="O1094" s="41"/>
      <c r="P1094">
        <v>1</v>
      </c>
      <c r="Q1094" t="s">
        <v>174</v>
      </c>
    </row>
    <row r="1095" spans="1:17" x14ac:dyDescent="0.35">
      <c r="A1095" s="4">
        <v>5961</v>
      </c>
      <c r="B1095" s="5">
        <v>34887</v>
      </c>
      <c r="C1095" s="5">
        <v>43861</v>
      </c>
      <c r="D1095" s="4">
        <v>25</v>
      </c>
      <c r="E1095" s="6" t="str" cm="1">
        <f t="array" ref="E1095">_xlfn.IFS(D1095&lt;=5,"Newcomer",AND(D1095&gt;=6,D1095&lt;=10),"Proficient",D1095&gt;10,"Expert")</f>
        <v>Expert</v>
      </c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 t="str" cm="1">
        <f t="array" ref="M1095">_xlfn.IFS(L1095="Retirement","Voluntary",L1095="Resignation","Voluntary",L1095="Layoff","InVoluntary")</f>
        <v>Voluntary</v>
      </c>
      <c r="N1095" s="4" t="s">
        <v>26</v>
      </c>
      <c r="O1095" s="41"/>
      <c r="P1095">
        <v>1</v>
      </c>
      <c r="Q1095" t="s">
        <v>173</v>
      </c>
    </row>
    <row r="1096" spans="1:17" x14ac:dyDescent="0.35">
      <c r="A1096" s="4">
        <v>5965</v>
      </c>
      <c r="B1096" s="5">
        <v>33805</v>
      </c>
      <c r="C1096" s="5">
        <v>43898</v>
      </c>
      <c r="D1096" s="4">
        <v>28</v>
      </c>
      <c r="E1096" s="6" t="str" cm="1">
        <f t="array" ref="E1096">_xlfn.IFS(D1096&lt;=5,"Newcomer",AND(D1096&gt;=6,D1096&lt;=10),"Proficient",D1096&gt;10,"Expert")</f>
        <v>Expert</v>
      </c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 t="str" cm="1">
        <f t="array" ref="M1096">_xlfn.IFS(L1096="Retirement","Voluntary",L1096="Resignation","Voluntary",L1096="Layoff","InVoluntary")</f>
        <v>Voluntary</v>
      </c>
      <c r="N1096" s="4" t="s">
        <v>26</v>
      </c>
      <c r="O1096" s="41"/>
      <c r="P1096">
        <v>1</v>
      </c>
      <c r="Q1096" t="s">
        <v>173</v>
      </c>
    </row>
    <row r="1097" spans="1:17" x14ac:dyDescent="0.35">
      <c r="A1097" s="4">
        <v>5974</v>
      </c>
      <c r="B1097" s="5">
        <v>37225</v>
      </c>
      <c r="C1097" s="5">
        <v>43870</v>
      </c>
      <c r="D1097" s="4">
        <v>19</v>
      </c>
      <c r="E1097" s="6" t="str" cm="1">
        <f t="array" ref="E1097">_xlfn.IFS(D1097&lt;=5,"Newcomer",AND(D1097&gt;=6,D1097&lt;=10),"Proficient",D1097&gt;10,"Expert")</f>
        <v>Expert</v>
      </c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 t="str" cm="1">
        <f t="array" ref="M1097">_xlfn.IFS(L1097="Retirement","Voluntary",L1097="Resignation","Voluntary",L1097="Layoff","InVoluntary")</f>
        <v>InVoluntary</v>
      </c>
      <c r="N1097" s="4" t="s">
        <v>26</v>
      </c>
      <c r="O1097" s="41"/>
      <c r="P1097">
        <v>1</v>
      </c>
      <c r="Q1097" t="s">
        <v>174</v>
      </c>
    </row>
    <row r="1098" spans="1:17" x14ac:dyDescent="0.35">
      <c r="A1098" s="4">
        <v>5978</v>
      </c>
      <c r="B1098" s="5">
        <v>33450</v>
      </c>
      <c r="C1098" s="5">
        <v>44067</v>
      </c>
      <c r="D1098" s="4">
        <v>29</v>
      </c>
      <c r="E1098" s="6" t="str" cm="1">
        <f t="array" ref="E1098">_xlfn.IFS(D1098&lt;=5,"Newcomer",AND(D1098&gt;=6,D1098&lt;=10),"Proficient",D1098&gt;10,"Expert")</f>
        <v>Expert</v>
      </c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 t="str" cm="1">
        <f t="array" ref="M1098">_xlfn.IFS(L1098="Retirement","Voluntary",L1098="Resignation","Voluntary",L1098="Layoff","InVoluntary")</f>
        <v>Voluntary</v>
      </c>
      <c r="N1098" s="4" t="s">
        <v>26</v>
      </c>
      <c r="O1098" s="41"/>
      <c r="P1098">
        <v>1</v>
      </c>
      <c r="Q1098" t="s">
        <v>173</v>
      </c>
    </row>
    <row r="1099" spans="1:17" x14ac:dyDescent="0.35">
      <c r="A1099" s="4">
        <v>6017</v>
      </c>
      <c r="B1099" s="5">
        <v>33840</v>
      </c>
      <c r="C1099" s="5">
        <v>44008</v>
      </c>
      <c r="D1099" s="4">
        <v>28</v>
      </c>
      <c r="E1099" s="6" t="str" cm="1">
        <f t="array" ref="E1099">_xlfn.IFS(D1099&lt;=5,"Newcomer",AND(D1099&gt;=6,D1099&lt;=10),"Proficient",D1099&gt;10,"Expert")</f>
        <v>Expert</v>
      </c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 t="str" cm="1">
        <f t="array" ref="M1099">_xlfn.IFS(L1099="Retirement","Voluntary",L1099="Resignation","Voluntary",L1099="Layoff","InVoluntary")</f>
        <v>Voluntary</v>
      </c>
      <c r="N1099" s="4" t="s">
        <v>26</v>
      </c>
      <c r="O1099" s="41"/>
      <c r="P1099">
        <v>1</v>
      </c>
      <c r="Q1099" t="s">
        <v>173</v>
      </c>
    </row>
    <row r="1100" spans="1:17" x14ac:dyDescent="0.35">
      <c r="A1100" s="4">
        <v>6046</v>
      </c>
      <c r="B1100" s="5">
        <v>33254</v>
      </c>
      <c r="C1100" s="5">
        <v>44010</v>
      </c>
      <c r="D1100" s="4">
        <v>29</v>
      </c>
      <c r="E1100" s="6" t="str" cm="1">
        <f t="array" ref="E1100">_xlfn.IFS(D1100&lt;=5,"Newcomer",AND(D1100&gt;=6,D1100&lt;=10),"Proficient",D1100&gt;10,"Expert")</f>
        <v>Expert</v>
      </c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 t="str" cm="1">
        <f t="array" ref="M1100">_xlfn.IFS(L1100="Retirement","Voluntary",L1100="Resignation","Voluntary",L1100="Layoff","InVoluntary")</f>
        <v>Voluntary</v>
      </c>
      <c r="N1100" s="4" t="s">
        <v>26</v>
      </c>
      <c r="O1100" s="41"/>
      <c r="P1100">
        <v>1</v>
      </c>
      <c r="Q1100" t="s">
        <v>173</v>
      </c>
    </row>
    <row r="1101" spans="1:17" x14ac:dyDescent="0.35">
      <c r="A1101" s="4">
        <v>6064</v>
      </c>
      <c r="B1101" s="5">
        <v>35286</v>
      </c>
      <c r="C1101" s="5">
        <v>43995</v>
      </c>
      <c r="D1101" s="4">
        <v>24</v>
      </c>
      <c r="E1101" s="6" t="str" cm="1">
        <f t="array" ref="E1101">_xlfn.IFS(D1101&lt;=5,"Newcomer",AND(D1101&gt;=6,D1101&lt;=10),"Proficient",D1101&gt;10,"Expert")</f>
        <v>Expert</v>
      </c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 t="str" cm="1">
        <f t="array" ref="M1101">_xlfn.IFS(L1101="Retirement","Voluntary",L1101="Resignation","Voluntary",L1101="Layoff","InVoluntary")</f>
        <v>InVoluntary</v>
      </c>
      <c r="N1101" s="4" t="s">
        <v>26</v>
      </c>
      <c r="O1101" s="41"/>
      <c r="P1101">
        <v>1</v>
      </c>
      <c r="Q1101" t="s">
        <v>174</v>
      </c>
    </row>
    <row r="1102" spans="1:17" x14ac:dyDescent="0.35">
      <c r="A1102" s="4">
        <v>6082</v>
      </c>
      <c r="B1102" s="5">
        <v>40441</v>
      </c>
      <c r="C1102" s="5">
        <v>44181</v>
      </c>
      <c r="D1102" s="4">
        <v>10</v>
      </c>
      <c r="E1102" s="6" t="str" cm="1">
        <f t="array" ref="E1102">_xlfn.IFS(D1102&lt;=5,"Newcomer",AND(D1102&gt;=6,D1102&lt;=10),"Proficient",D1102&gt;10,"Expert")</f>
        <v>Proficient</v>
      </c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 t="str" cm="1">
        <f t="array" ref="M1102">_xlfn.IFS(L1102="Retirement","Voluntary",L1102="Resignation","Voluntary",L1102="Layoff","InVoluntary")</f>
        <v>Voluntary</v>
      </c>
      <c r="N1102" s="4" t="s">
        <v>26</v>
      </c>
      <c r="O1102" s="41"/>
      <c r="P1102">
        <v>1</v>
      </c>
      <c r="Q1102" t="s">
        <v>173</v>
      </c>
    </row>
    <row r="1103" spans="1:17" x14ac:dyDescent="0.35">
      <c r="A1103" s="4">
        <v>6092</v>
      </c>
      <c r="B1103" s="5">
        <v>36877</v>
      </c>
      <c r="C1103" s="5">
        <v>44033</v>
      </c>
      <c r="D1103" s="4">
        <v>20</v>
      </c>
      <c r="E1103" s="6" t="str" cm="1">
        <f t="array" ref="E1103">_xlfn.IFS(D1103&lt;=5,"Newcomer",AND(D1103&gt;=6,D1103&lt;=10),"Proficient",D1103&gt;10,"Expert")</f>
        <v>Expert</v>
      </c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 t="str" cm="1">
        <f t="array" ref="M1103">_xlfn.IFS(L1103="Retirement","Voluntary",L1103="Resignation","Voluntary",L1103="Layoff","InVoluntary")</f>
        <v>Voluntary</v>
      </c>
      <c r="N1103" s="4" t="s">
        <v>26</v>
      </c>
      <c r="O1103" s="41"/>
      <c r="P1103">
        <v>1</v>
      </c>
      <c r="Q1103" t="s">
        <v>173</v>
      </c>
    </row>
    <row r="1104" spans="1:17" x14ac:dyDescent="0.35">
      <c r="A1104" s="4">
        <v>6111</v>
      </c>
      <c r="B1104" s="5">
        <v>38652</v>
      </c>
      <c r="C1104" s="5">
        <v>43912</v>
      </c>
      <c r="D1104" s="4">
        <v>15</v>
      </c>
      <c r="E1104" s="6" t="str" cm="1">
        <f t="array" ref="E1104">_xlfn.IFS(D1104&lt;=5,"Newcomer",AND(D1104&gt;=6,D1104&lt;=10),"Proficient",D1104&gt;10,"Expert")</f>
        <v>Expert</v>
      </c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 t="str" cm="1">
        <f t="array" ref="M1104">_xlfn.IFS(L1104="Retirement","Voluntary",L1104="Resignation","Voluntary",L1104="Layoff","InVoluntary")</f>
        <v>InVoluntary</v>
      </c>
      <c r="N1104" s="4" t="s">
        <v>26</v>
      </c>
      <c r="O1104" s="41"/>
      <c r="P1104">
        <v>1</v>
      </c>
      <c r="Q1104" t="s">
        <v>174</v>
      </c>
    </row>
    <row r="1105" spans="1:17" x14ac:dyDescent="0.35">
      <c r="A1105" s="4">
        <v>6130</v>
      </c>
      <c r="B1105" s="5">
        <v>38698</v>
      </c>
      <c r="C1105" s="5">
        <v>44021</v>
      </c>
      <c r="D1105" s="4">
        <v>15</v>
      </c>
      <c r="E1105" s="6" t="str" cm="1">
        <f t="array" ref="E1105">_xlfn.IFS(D1105&lt;=5,"Newcomer",AND(D1105&gt;=6,D1105&lt;=10),"Proficient",D1105&gt;10,"Expert")</f>
        <v>Expert</v>
      </c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 t="str" cm="1">
        <f t="array" ref="M1105">_xlfn.IFS(L1105="Retirement","Voluntary",L1105="Resignation","Voluntary",L1105="Layoff","InVoluntary")</f>
        <v>Voluntary</v>
      </c>
      <c r="N1105" s="4" t="s">
        <v>26</v>
      </c>
      <c r="O1105" s="41"/>
      <c r="P1105">
        <v>1</v>
      </c>
      <c r="Q1105" t="s">
        <v>173</v>
      </c>
    </row>
    <row r="1106" spans="1:17" x14ac:dyDescent="0.35">
      <c r="A1106" s="4">
        <v>6133</v>
      </c>
      <c r="B1106" s="5">
        <v>35210</v>
      </c>
      <c r="C1106" s="5">
        <v>43952</v>
      </c>
      <c r="D1106" s="4">
        <v>24</v>
      </c>
      <c r="E1106" s="6" t="str" cm="1">
        <f t="array" ref="E1106">_xlfn.IFS(D1106&lt;=5,"Newcomer",AND(D1106&gt;=6,D1106&lt;=10),"Proficient",D1106&gt;10,"Expert")</f>
        <v>Expert</v>
      </c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 t="str" cm="1">
        <f t="array" ref="M1106">_xlfn.IFS(L1106="Retirement","Voluntary",L1106="Resignation","Voluntary",L1106="Layoff","InVoluntary")</f>
        <v>Voluntary</v>
      </c>
      <c r="N1106" s="4" t="s">
        <v>26</v>
      </c>
      <c r="O1106" s="41"/>
      <c r="P1106">
        <v>1</v>
      </c>
      <c r="Q1106" t="s">
        <v>173</v>
      </c>
    </row>
    <row r="1107" spans="1:17" x14ac:dyDescent="0.35">
      <c r="A1107" s="4">
        <v>6134</v>
      </c>
      <c r="B1107" s="5">
        <v>41825</v>
      </c>
      <c r="C1107" s="5">
        <v>43987</v>
      </c>
      <c r="D1107" s="4">
        <v>6</v>
      </c>
      <c r="E1107" s="6" t="str" cm="1">
        <f t="array" ref="E1107">_xlfn.IFS(D1107&lt;=5,"Newcomer",AND(D1107&gt;=6,D1107&lt;=10),"Proficient",D1107&gt;10,"Expert")</f>
        <v>Proficient</v>
      </c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 t="str" cm="1">
        <f t="array" ref="M1107">_xlfn.IFS(L1107="Retirement","Voluntary",L1107="Resignation","Voluntary",L1107="Layoff","InVoluntary")</f>
        <v>InVoluntary</v>
      </c>
      <c r="N1107" s="4" t="s">
        <v>26</v>
      </c>
      <c r="O1107" s="41"/>
      <c r="P1107">
        <v>1</v>
      </c>
      <c r="Q1107" t="s">
        <v>174</v>
      </c>
    </row>
    <row r="1108" spans="1:17" x14ac:dyDescent="0.35">
      <c r="A1108" s="4">
        <v>6136</v>
      </c>
      <c r="B1108" s="5">
        <v>38744</v>
      </c>
      <c r="C1108" s="5">
        <v>44183</v>
      </c>
      <c r="D1108" s="4">
        <v>14</v>
      </c>
      <c r="E1108" s="6" t="str" cm="1">
        <f t="array" ref="E1108">_xlfn.IFS(D1108&lt;=5,"Newcomer",AND(D1108&gt;=6,D1108&lt;=10),"Proficient",D1108&gt;10,"Expert")</f>
        <v>Expert</v>
      </c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 t="str" cm="1">
        <f t="array" ref="M1108">_xlfn.IFS(L1108="Retirement","Voluntary",L1108="Resignation","Voluntary",L1108="Layoff","InVoluntary")</f>
        <v>Voluntary</v>
      </c>
      <c r="N1108" s="4" t="s">
        <v>26</v>
      </c>
      <c r="O1108" s="41"/>
      <c r="P1108">
        <v>1</v>
      </c>
      <c r="Q1108" t="s">
        <v>173</v>
      </c>
    </row>
    <row r="1109" spans="1:17" x14ac:dyDescent="0.35">
      <c r="A1109" s="4">
        <v>6147</v>
      </c>
      <c r="B1109" s="5">
        <v>42114</v>
      </c>
      <c r="C1109" s="5">
        <v>43976</v>
      </c>
      <c r="D1109" s="4">
        <v>5</v>
      </c>
      <c r="E1109" s="6" t="str" cm="1">
        <f t="array" ref="E1109">_xlfn.IFS(D1109&lt;=5,"Newcomer",AND(D1109&gt;=6,D1109&lt;=10),"Proficient",D1109&gt;10,"Expert")</f>
        <v>Newcomer</v>
      </c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 t="str" cm="1">
        <f t="array" ref="M1109">_xlfn.IFS(L1109="Retirement","Voluntary",L1109="Resignation","Voluntary",L1109="Layoff","InVoluntary")</f>
        <v>Voluntary</v>
      </c>
      <c r="N1109" s="4" t="s">
        <v>26</v>
      </c>
      <c r="O1109" s="41"/>
      <c r="P1109">
        <v>1</v>
      </c>
      <c r="Q1109" t="s">
        <v>173</v>
      </c>
    </row>
    <row r="1110" spans="1:17" x14ac:dyDescent="0.35">
      <c r="A1110" s="4">
        <v>6167</v>
      </c>
      <c r="B1110" s="5">
        <v>37766</v>
      </c>
      <c r="C1110" s="5">
        <v>44036</v>
      </c>
      <c r="D1110" s="4">
        <v>17</v>
      </c>
      <c r="E1110" s="6" t="str" cm="1">
        <f t="array" ref="E1110">_xlfn.IFS(D1110&lt;=5,"Newcomer",AND(D1110&gt;=6,D1110&lt;=10),"Proficient",D1110&gt;10,"Expert")</f>
        <v>Expert</v>
      </c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 t="str" cm="1">
        <f t="array" ref="M1110">_xlfn.IFS(L1110="Retirement","Voluntary",L1110="Resignation","Voluntary",L1110="Layoff","InVoluntary")</f>
        <v>Voluntary</v>
      </c>
      <c r="N1110" s="4" t="s">
        <v>26</v>
      </c>
      <c r="O1110" s="41"/>
      <c r="P1110">
        <v>1</v>
      </c>
      <c r="Q1110" t="s">
        <v>173</v>
      </c>
    </row>
    <row r="1111" spans="1:17" x14ac:dyDescent="0.35">
      <c r="A1111" s="4">
        <v>6185</v>
      </c>
      <c r="B1111" s="5">
        <v>33097</v>
      </c>
      <c r="C1111" s="5">
        <v>43853</v>
      </c>
      <c r="D1111" s="4">
        <v>30</v>
      </c>
      <c r="E1111" s="6" t="str" cm="1">
        <f t="array" ref="E1111">_xlfn.IFS(D1111&lt;=5,"Newcomer",AND(D1111&gt;=6,D1111&lt;=10),"Proficient",D1111&gt;10,"Expert")</f>
        <v>Expert</v>
      </c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 t="str" cm="1">
        <f t="array" ref="M1111">_xlfn.IFS(L1111="Retirement","Voluntary",L1111="Resignation","Voluntary",L1111="Layoff","InVoluntary")</f>
        <v>InVoluntary</v>
      </c>
      <c r="N1111" s="4" t="s">
        <v>26</v>
      </c>
      <c r="O1111" s="41"/>
      <c r="P1111">
        <v>1</v>
      </c>
      <c r="Q1111" t="s">
        <v>174</v>
      </c>
    </row>
    <row r="1112" spans="1:17" x14ac:dyDescent="0.35">
      <c r="A1112" s="4">
        <v>6192</v>
      </c>
      <c r="B1112" s="5">
        <v>40915</v>
      </c>
      <c r="C1112" s="5">
        <v>43986</v>
      </c>
      <c r="D1112" s="4">
        <v>8</v>
      </c>
      <c r="E1112" s="6" t="str" cm="1">
        <f t="array" ref="E1112">_xlfn.IFS(D1112&lt;=5,"Newcomer",AND(D1112&gt;=6,D1112&lt;=10),"Proficient",D1112&gt;10,"Expert")</f>
        <v>Proficient</v>
      </c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 t="str" cm="1">
        <f t="array" ref="M1112">_xlfn.IFS(L1112="Retirement","Voluntary",L1112="Resignation","Voluntary",L1112="Layoff","InVoluntary")</f>
        <v>InVoluntary</v>
      </c>
      <c r="N1112" s="4" t="s">
        <v>26</v>
      </c>
      <c r="O1112" s="41"/>
      <c r="P1112">
        <v>1</v>
      </c>
      <c r="Q1112" t="s">
        <v>174</v>
      </c>
    </row>
    <row r="1113" spans="1:17" x14ac:dyDescent="0.35">
      <c r="A1113" s="4">
        <v>6195</v>
      </c>
      <c r="B1113" s="5">
        <v>40949</v>
      </c>
      <c r="C1113" s="5">
        <v>43874</v>
      </c>
      <c r="D1113" s="4">
        <v>8</v>
      </c>
      <c r="E1113" s="6" t="str" cm="1">
        <f t="array" ref="E1113">_xlfn.IFS(D1113&lt;=5,"Newcomer",AND(D1113&gt;=6,D1113&lt;=10),"Proficient",D1113&gt;10,"Expert")</f>
        <v>Proficient</v>
      </c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 t="str" cm="1">
        <f t="array" ref="M1113">_xlfn.IFS(L1113="Retirement","Voluntary",L1113="Resignation","Voluntary",L1113="Layoff","InVoluntary")</f>
        <v>InVoluntary</v>
      </c>
      <c r="N1113" s="4" t="s">
        <v>26</v>
      </c>
      <c r="O1113" s="41"/>
      <c r="P1113">
        <v>1</v>
      </c>
      <c r="Q1113" t="s">
        <v>174</v>
      </c>
    </row>
    <row r="1114" spans="1:17" x14ac:dyDescent="0.35">
      <c r="A1114" s="4">
        <v>6229</v>
      </c>
      <c r="B1114" s="5">
        <v>37153</v>
      </c>
      <c r="C1114" s="5">
        <v>44000</v>
      </c>
      <c r="D1114" s="4">
        <v>19</v>
      </c>
      <c r="E1114" s="6" t="str" cm="1">
        <f t="array" ref="E1114">_xlfn.IFS(D1114&lt;=5,"Newcomer",AND(D1114&gt;=6,D1114&lt;=10),"Proficient",D1114&gt;10,"Expert")</f>
        <v>Expert</v>
      </c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 t="str" cm="1">
        <f t="array" ref="M1114">_xlfn.IFS(L1114="Retirement","Voluntary",L1114="Resignation","Voluntary",L1114="Layoff","InVoluntary")</f>
        <v>Voluntary</v>
      </c>
      <c r="N1114" s="4" t="s">
        <v>26</v>
      </c>
      <c r="O1114" s="41"/>
      <c r="P1114">
        <v>1</v>
      </c>
      <c r="Q1114" t="s">
        <v>173</v>
      </c>
    </row>
    <row r="1115" spans="1:17" x14ac:dyDescent="0.35">
      <c r="A1115" s="4">
        <v>6236</v>
      </c>
      <c r="B1115" s="5">
        <v>38646</v>
      </c>
      <c r="C1115" s="5">
        <v>43990</v>
      </c>
      <c r="D1115" s="4">
        <v>15</v>
      </c>
      <c r="E1115" s="6" t="str" cm="1">
        <f t="array" ref="E1115">_xlfn.IFS(D1115&lt;=5,"Newcomer",AND(D1115&gt;=6,D1115&lt;=10),"Proficient",D1115&gt;10,"Expert")</f>
        <v>Expert</v>
      </c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 t="str" cm="1">
        <f t="array" ref="M1115">_xlfn.IFS(L1115="Retirement","Voluntary",L1115="Resignation","Voluntary",L1115="Layoff","InVoluntary")</f>
        <v>InVoluntary</v>
      </c>
      <c r="N1115" s="4" t="s">
        <v>26</v>
      </c>
      <c r="O1115" s="41"/>
      <c r="P1115">
        <v>1</v>
      </c>
      <c r="Q1115" t="s">
        <v>174</v>
      </c>
    </row>
    <row r="1116" spans="1:17" x14ac:dyDescent="0.35">
      <c r="A1116" s="4">
        <v>6243</v>
      </c>
      <c r="B1116" s="5">
        <v>41172</v>
      </c>
      <c r="C1116" s="5">
        <v>44110</v>
      </c>
      <c r="D1116" s="4">
        <v>8</v>
      </c>
      <c r="E1116" s="6" t="str" cm="1">
        <f t="array" ref="E1116">_xlfn.IFS(D1116&lt;=5,"Newcomer",AND(D1116&gt;=6,D1116&lt;=10),"Proficient",D1116&gt;10,"Expert")</f>
        <v>Proficient</v>
      </c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 t="str" cm="1">
        <f t="array" ref="M1116">_xlfn.IFS(L1116="Retirement","Voluntary",L1116="Resignation","Voluntary",L1116="Layoff","InVoluntary")</f>
        <v>Voluntary</v>
      </c>
      <c r="N1116" s="4" t="s">
        <v>26</v>
      </c>
      <c r="O1116" s="41"/>
      <c r="P1116">
        <v>1</v>
      </c>
      <c r="Q1116" t="s">
        <v>173</v>
      </c>
    </row>
    <row r="1117" spans="1:17" x14ac:dyDescent="0.35">
      <c r="A1117" s="4">
        <v>6247</v>
      </c>
      <c r="B1117" s="5">
        <v>36228</v>
      </c>
      <c r="C1117" s="5">
        <v>43853</v>
      </c>
      <c r="D1117" s="4">
        <v>21</v>
      </c>
      <c r="E1117" s="6" t="str" cm="1">
        <f t="array" ref="E1117">_xlfn.IFS(D1117&lt;=5,"Newcomer",AND(D1117&gt;=6,D1117&lt;=10),"Proficient",D1117&gt;10,"Expert")</f>
        <v>Expert</v>
      </c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 t="str" cm="1">
        <f t="array" ref="M1117">_xlfn.IFS(L1117="Retirement","Voluntary",L1117="Resignation","Voluntary",L1117="Layoff","InVoluntary")</f>
        <v>InVoluntary</v>
      </c>
      <c r="N1117" s="4" t="s">
        <v>26</v>
      </c>
      <c r="O1117" s="41"/>
      <c r="P1117">
        <v>1</v>
      </c>
      <c r="Q1117" t="s">
        <v>174</v>
      </c>
    </row>
    <row r="1118" spans="1:17" x14ac:dyDescent="0.35">
      <c r="A1118" s="4">
        <v>6263</v>
      </c>
      <c r="B1118" s="5">
        <v>38600</v>
      </c>
      <c r="C1118" s="5">
        <v>43966</v>
      </c>
      <c r="D1118" s="4">
        <v>15</v>
      </c>
      <c r="E1118" s="6" t="str" cm="1">
        <f t="array" ref="E1118">_xlfn.IFS(D1118&lt;=5,"Newcomer",AND(D1118&gt;=6,D1118&lt;=10),"Proficient",D1118&gt;10,"Expert")</f>
        <v>Expert</v>
      </c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 t="str" cm="1">
        <f t="array" ref="M1118">_xlfn.IFS(L1118="Retirement","Voluntary",L1118="Resignation","Voluntary",L1118="Layoff","InVoluntary")</f>
        <v>InVoluntary</v>
      </c>
      <c r="N1118" s="4" t="s">
        <v>26</v>
      </c>
      <c r="O1118" s="41"/>
      <c r="P1118">
        <v>1</v>
      </c>
      <c r="Q1118" t="s">
        <v>174</v>
      </c>
    </row>
    <row r="1119" spans="1:17" x14ac:dyDescent="0.35">
      <c r="A1119" s="4">
        <v>6284</v>
      </c>
      <c r="B1119" s="5">
        <v>35149</v>
      </c>
      <c r="C1119" s="5">
        <v>44172</v>
      </c>
      <c r="D1119" s="4">
        <v>24</v>
      </c>
      <c r="E1119" s="6" t="str" cm="1">
        <f t="array" ref="E1119">_xlfn.IFS(D1119&lt;=5,"Newcomer",AND(D1119&gt;=6,D1119&lt;=10),"Proficient",D1119&gt;10,"Expert")</f>
        <v>Expert</v>
      </c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 t="str" cm="1">
        <f t="array" ref="M1119">_xlfn.IFS(L1119="Retirement","Voluntary",L1119="Resignation","Voluntary",L1119="Layoff","InVoluntary")</f>
        <v>InVoluntary</v>
      </c>
      <c r="N1119" s="4" t="s">
        <v>26</v>
      </c>
      <c r="O1119" s="41"/>
      <c r="P1119">
        <v>1</v>
      </c>
      <c r="Q1119" t="s">
        <v>174</v>
      </c>
    </row>
    <row r="1120" spans="1:17" x14ac:dyDescent="0.35">
      <c r="A1120" s="4">
        <v>6312</v>
      </c>
      <c r="B1120" s="5">
        <v>36510</v>
      </c>
      <c r="C1120" s="5">
        <v>43876</v>
      </c>
      <c r="D1120" s="4">
        <v>21</v>
      </c>
      <c r="E1120" s="6" t="str" cm="1">
        <f t="array" ref="E1120">_xlfn.IFS(D1120&lt;=5,"Newcomer",AND(D1120&gt;=6,D1120&lt;=10),"Proficient",D1120&gt;10,"Expert")</f>
        <v>Expert</v>
      </c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 t="str" cm="1">
        <f t="array" ref="M1120">_xlfn.IFS(L1120="Retirement","Voluntary",L1120="Resignation","Voluntary",L1120="Layoff","InVoluntary")</f>
        <v>Voluntary</v>
      </c>
      <c r="N1120" s="4" t="s">
        <v>26</v>
      </c>
      <c r="O1120" s="41"/>
      <c r="P1120">
        <v>1</v>
      </c>
      <c r="Q1120" t="s">
        <v>173</v>
      </c>
    </row>
    <row r="1121" spans="1:17" x14ac:dyDescent="0.35">
      <c r="A1121" s="4">
        <v>6323</v>
      </c>
      <c r="B1121" s="5">
        <v>36296</v>
      </c>
      <c r="C1121" s="5">
        <v>44033</v>
      </c>
      <c r="D1121" s="4">
        <v>21</v>
      </c>
      <c r="E1121" s="6" t="str" cm="1">
        <f t="array" ref="E1121">_xlfn.IFS(D1121&lt;=5,"Newcomer",AND(D1121&gt;=6,D1121&lt;=10),"Proficient",D1121&gt;10,"Expert")</f>
        <v>Expert</v>
      </c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 t="str" cm="1">
        <f t="array" ref="M1121">_xlfn.IFS(L1121="Retirement","Voluntary",L1121="Resignation","Voluntary",L1121="Layoff","InVoluntary")</f>
        <v>InVoluntary</v>
      </c>
      <c r="N1121" s="4" t="s">
        <v>26</v>
      </c>
      <c r="O1121" s="41"/>
      <c r="P1121">
        <v>1</v>
      </c>
      <c r="Q1121" t="s">
        <v>174</v>
      </c>
    </row>
    <row r="1122" spans="1:17" x14ac:dyDescent="0.35">
      <c r="A1122" s="4">
        <v>6325</v>
      </c>
      <c r="B1122" s="5">
        <v>32927</v>
      </c>
      <c r="C1122" s="5">
        <v>43856</v>
      </c>
      <c r="D1122" s="4">
        <v>30</v>
      </c>
      <c r="E1122" s="6" t="str" cm="1">
        <f t="array" ref="E1122">_xlfn.IFS(D1122&lt;=5,"Newcomer",AND(D1122&gt;=6,D1122&lt;=10),"Proficient",D1122&gt;10,"Expert")</f>
        <v>Expert</v>
      </c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 t="str" cm="1">
        <f t="array" ref="M1122">_xlfn.IFS(L1122="Retirement","Voluntary",L1122="Resignation","Voluntary",L1122="Layoff","InVoluntary")</f>
        <v>Voluntary</v>
      </c>
      <c r="N1122" s="4" t="s">
        <v>26</v>
      </c>
      <c r="O1122" s="41"/>
      <c r="P1122">
        <v>1</v>
      </c>
      <c r="Q1122" t="s">
        <v>173</v>
      </c>
    </row>
    <row r="1123" spans="1:17" x14ac:dyDescent="0.35">
      <c r="A1123" s="4">
        <v>6353</v>
      </c>
      <c r="B1123" s="5">
        <v>34512</v>
      </c>
      <c r="C1123" s="5">
        <v>43928</v>
      </c>
      <c r="D1123" s="4">
        <v>26</v>
      </c>
      <c r="E1123" s="6" t="str" cm="1">
        <f t="array" ref="E1123">_xlfn.IFS(D1123&lt;=5,"Newcomer",AND(D1123&gt;=6,D1123&lt;=10),"Proficient",D1123&gt;10,"Expert")</f>
        <v>Expert</v>
      </c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 t="str" cm="1">
        <f t="array" ref="M1123">_xlfn.IFS(L1123="Retirement","Voluntary",L1123="Resignation","Voluntary",L1123="Layoff","InVoluntary")</f>
        <v>InVoluntary</v>
      </c>
      <c r="N1123" s="4" t="s">
        <v>26</v>
      </c>
      <c r="O1123" s="41"/>
      <c r="P1123">
        <v>1</v>
      </c>
      <c r="Q1123" t="s">
        <v>174</v>
      </c>
    </row>
    <row r="1124" spans="1:17" x14ac:dyDescent="0.35">
      <c r="A1124" s="4">
        <v>6365</v>
      </c>
      <c r="B1124" s="5">
        <v>37831</v>
      </c>
      <c r="C1124" s="5">
        <v>44017</v>
      </c>
      <c r="D1124" s="4">
        <v>17</v>
      </c>
      <c r="E1124" s="6" t="str" cm="1">
        <f t="array" ref="E1124">_xlfn.IFS(D1124&lt;=5,"Newcomer",AND(D1124&gt;=6,D1124&lt;=10),"Proficient",D1124&gt;10,"Expert")</f>
        <v>Expert</v>
      </c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 t="str" cm="1">
        <f t="array" ref="M1124">_xlfn.IFS(L1124="Retirement","Voluntary",L1124="Resignation","Voluntary",L1124="Layoff","InVoluntary")</f>
        <v>InVoluntary</v>
      </c>
      <c r="N1124" s="4" t="s">
        <v>26</v>
      </c>
      <c r="O1124" s="41"/>
      <c r="P1124">
        <v>1</v>
      </c>
      <c r="Q1124" t="s">
        <v>174</v>
      </c>
    </row>
    <row r="1125" spans="1:17" x14ac:dyDescent="0.35">
      <c r="A1125" s="4">
        <v>6369</v>
      </c>
      <c r="B1125" s="5">
        <v>40281</v>
      </c>
      <c r="C1125" s="5">
        <v>43946</v>
      </c>
      <c r="D1125" s="4">
        <v>10</v>
      </c>
      <c r="E1125" s="6" t="str" cm="1">
        <f t="array" ref="E1125">_xlfn.IFS(D1125&lt;=5,"Newcomer",AND(D1125&gt;=6,D1125&lt;=10),"Proficient",D1125&gt;10,"Expert")</f>
        <v>Proficient</v>
      </c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 t="str" cm="1">
        <f t="array" ref="M1125">_xlfn.IFS(L1125="Retirement","Voluntary",L1125="Resignation","Voluntary",L1125="Layoff","InVoluntary")</f>
        <v>Voluntary</v>
      </c>
      <c r="N1125" s="4" t="s">
        <v>26</v>
      </c>
      <c r="O1125" s="41"/>
      <c r="P1125">
        <v>1</v>
      </c>
      <c r="Q1125" t="s">
        <v>173</v>
      </c>
    </row>
    <row r="1126" spans="1:17" x14ac:dyDescent="0.35">
      <c r="A1126" s="4">
        <v>6389</v>
      </c>
      <c r="B1126" s="5">
        <v>38143</v>
      </c>
      <c r="C1126" s="5">
        <v>44091</v>
      </c>
      <c r="D1126" s="4">
        <v>16</v>
      </c>
      <c r="E1126" s="6" t="str" cm="1">
        <f t="array" ref="E1126">_xlfn.IFS(D1126&lt;=5,"Newcomer",AND(D1126&gt;=6,D1126&lt;=10),"Proficient",D1126&gt;10,"Expert")</f>
        <v>Expert</v>
      </c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 t="str" cm="1">
        <f t="array" ref="M1126">_xlfn.IFS(L1126="Retirement","Voluntary",L1126="Resignation","Voluntary",L1126="Layoff","InVoluntary")</f>
        <v>Voluntary</v>
      </c>
      <c r="N1126" s="4" t="s">
        <v>26</v>
      </c>
      <c r="O1126" s="41"/>
      <c r="P1126">
        <v>1</v>
      </c>
      <c r="Q1126" t="s">
        <v>173</v>
      </c>
    </row>
    <row r="1127" spans="1:17" x14ac:dyDescent="0.35">
      <c r="A1127" s="4">
        <v>6406</v>
      </c>
      <c r="B1127" s="5">
        <v>40151</v>
      </c>
      <c r="C1127" s="5">
        <v>43982</v>
      </c>
      <c r="D1127" s="4">
        <v>11</v>
      </c>
      <c r="E1127" s="6" t="str" cm="1">
        <f t="array" ref="E1127">_xlfn.IFS(D1127&lt;=5,"Newcomer",AND(D1127&gt;=6,D1127&lt;=10),"Proficient",D1127&gt;10,"Expert")</f>
        <v>Expert</v>
      </c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 t="str" cm="1">
        <f t="array" ref="M1127">_xlfn.IFS(L1127="Retirement","Voluntary",L1127="Resignation","Voluntary",L1127="Layoff","InVoluntary")</f>
        <v>Voluntary</v>
      </c>
      <c r="N1127" s="4" t="s">
        <v>26</v>
      </c>
      <c r="O1127" s="41"/>
      <c r="P1127">
        <v>1</v>
      </c>
      <c r="Q1127" t="s">
        <v>173</v>
      </c>
    </row>
    <row r="1128" spans="1:17" x14ac:dyDescent="0.35">
      <c r="A1128" s="4">
        <v>6408</v>
      </c>
      <c r="B1128" s="5">
        <v>39825</v>
      </c>
      <c r="C1128" s="5">
        <v>43839</v>
      </c>
      <c r="D1128" s="4">
        <v>11</v>
      </c>
      <c r="E1128" s="6" t="str" cm="1">
        <f t="array" ref="E1128">_xlfn.IFS(D1128&lt;=5,"Newcomer",AND(D1128&gt;=6,D1128&lt;=10),"Proficient",D1128&gt;10,"Expert")</f>
        <v>Expert</v>
      </c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 t="str" cm="1">
        <f t="array" ref="M1128">_xlfn.IFS(L1128="Retirement","Voluntary",L1128="Resignation","Voluntary",L1128="Layoff","InVoluntary")</f>
        <v>Voluntary</v>
      </c>
      <c r="N1128" s="4" t="s">
        <v>26</v>
      </c>
      <c r="O1128" s="41"/>
      <c r="P1128">
        <v>1</v>
      </c>
      <c r="Q1128" t="s">
        <v>173</v>
      </c>
    </row>
    <row r="1129" spans="1:17" x14ac:dyDescent="0.35">
      <c r="A1129" s="4">
        <v>6433</v>
      </c>
      <c r="B1129" s="5">
        <v>34857</v>
      </c>
      <c r="C1129" s="5">
        <v>43920</v>
      </c>
      <c r="D1129" s="4">
        <v>25</v>
      </c>
      <c r="E1129" s="6" t="str" cm="1">
        <f t="array" ref="E1129">_xlfn.IFS(D1129&lt;=5,"Newcomer",AND(D1129&gt;=6,D1129&lt;=10),"Proficient",D1129&gt;10,"Expert")</f>
        <v>Expert</v>
      </c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 t="str" cm="1">
        <f t="array" ref="M1129">_xlfn.IFS(L1129="Retirement","Voluntary",L1129="Resignation","Voluntary",L1129="Layoff","InVoluntary")</f>
        <v>Voluntary</v>
      </c>
      <c r="N1129" s="4" t="s">
        <v>26</v>
      </c>
      <c r="O1129" s="41"/>
      <c r="P1129">
        <v>1</v>
      </c>
      <c r="Q1129" t="s">
        <v>173</v>
      </c>
    </row>
    <row r="1130" spans="1:17" x14ac:dyDescent="0.35">
      <c r="A1130" s="4">
        <v>6435</v>
      </c>
      <c r="B1130" s="5">
        <v>41484</v>
      </c>
      <c r="C1130" s="5">
        <v>44163</v>
      </c>
      <c r="D1130" s="4">
        <v>7</v>
      </c>
      <c r="E1130" s="6" t="str" cm="1">
        <f t="array" ref="E1130">_xlfn.IFS(D1130&lt;=5,"Newcomer",AND(D1130&gt;=6,D1130&lt;=10),"Proficient",D1130&gt;10,"Expert")</f>
        <v>Proficient</v>
      </c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 t="str" cm="1">
        <f t="array" ref="M1130">_xlfn.IFS(L1130="Retirement","Voluntary",L1130="Resignation","Voluntary",L1130="Layoff","InVoluntary")</f>
        <v>Voluntary</v>
      </c>
      <c r="N1130" s="4" t="s">
        <v>26</v>
      </c>
      <c r="O1130" s="41"/>
      <c r="P1130">
        <v>1</v>
      </c>
      <c r="Q1130" t="s">
        <v>173</v>
      </c>
    </row>
    <row r="1131" spans="1:17" x14ac:dyDescent="0.35">
      <c r="A1131" s="4">
        <v>6441</v>
      </c>
      <c r="B1131" s="5">
        <v>38528</v>
      </c>
      <c r="C1131" s="5">
        <v>43887</v>
      </c>
      <c r="D1131" s="4">
        <v>15</v>
      </c>
      <c r="E1131" s="6" t="str" cm="1">
        <f t="array" ref="E1131">_xlfn.IFS(D1131&lt;=5,"Newcomer",AND(D1131&gt;=6,D1131&lt;=10),"Proficient",D1131&gt;10,"Expert")</f>
        <v>Expert</v>
      </c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 t="str" cm="1">
        <f t="array" ref="M1131">_xlfn.IFS(L1131="Retirement","Voluntary",L1131="Resignation","Voluntary",L1131="Layoff","InVoluntary")</f>
        <v>InVoluntary</v>
      </c>
      <c r="N1131" s="4" t="s">
        <v>26</v>
      </c>
      <c r="O1131" s="41"/>
      <c r="P1131">
        <v>1</v>
      </c>
      <c r="Q1131" t="s">
        <v>174</v>
      </c>
    </row>
    <row r="1132" spans="1:17" x14ac:dyDescent="0.35">
      <c r="A1132" s="4">
        <v>6451</v>
      </c>
      <c r="B1132" s="5">
        <v>41396</v>
      </c>
      <c r="C1132" s="5">
        <v>44151</v>
      </c>
      <c r="D1132" s="4">
        <v>7</v>
      </c>
      <c r="E1132" s="6" t="str" cm="1">
        <f t="array" ref="E1132">_xlfn.IFS(D1132&lt;=5,"Newcomer",AND(D1132&gt;=6,D1132&lt;=10),"Proficient",D1132&gt;10,"Expert")</f>
        <v>Proficient</v>
      </c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 t="str" cm="1">
        <f t="array" ref="M1132">_xlfn.IFS(L1132="Retirement","Voluntary",L1132="Resignation","Voluntary",L1132="Layoff","InVoluntary")</f>
        <v>InVoluntary</v>
      </c>
      <c r="N1132" s="4" t="s">
        <v>26</v>
      </c>
      <c r="O1132" s="41"/>
      <c r="P1132">
        <v>1</v>
      </c>
      <c r="Q1132" t="s">
        <v>174</v>
      </c>
    </row>
    <row r="1133" spans="1:17" x14ac:dyDescent="0.35">
      <c r="A1133" s="4">
        <v>6456</v>
      </c>
      <c r="B1133" s="5">
        <v>34745</v>
      </c>
      <c r="C1133" s="5">
        <v>44192</v>
      </c>
      <c r="D1133" s="4">
        <v>25</v>
      </c>
      <c r="E1133" s="6" t="str" cm="1">
        <f t="array" ref="E1133">_xlfn.IFS(D1133&lt;=5,"Newcomer",AND(D1133&gt;=6,D1133&lt;=10),"Proficient",D1133&gt;10,"Expert")</f>
        <v>Expert</v>
      </c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 t="str" cm="1">
        <f t="array" ref="M1133">_xlfn.IFS(L1133="Retirement","Voluntary",L1133="Resignation","Voluntary",L1133="Layoff","InVoluntary")</f>
        <v>InVoluntary</v>
      </c>
      <c r="N1133" s="4" t="s">
        <v>26</v>
      </c>
      <c r="O1133" s="41"/>
      <c r="P1133">
        <v>1</v>
      </c>
      <c r="Q1133" t="s">
        <v>174</v>
      </c>
    </row>
    <row r="1134" spans="1:17" x14ac:dyDescent="0.35">
      <c r="A1134" s="4">
        <v>6473</v>
      </c>
      <c r="B1134" s="5">
        <v>36201</v>
      </c>
      <c r="C1134" s="5">
        <v>44017</v>
      </c>
      <c r="D1134" s="4">
        <v>21</v>
      </c>
      <c r="E1134" s="6" t="str" cm="1">
        <f t="array" ref="E1134">_xlfn.IFS(D1134&lt;=5,"Newcomer",AND(D1134&gt;=6,D1134&lt;=10),"Proficient",D1134&gt;10,"Expert")</f>
        <v>Expert</v>
      </c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 t="str" cm="1">
        <f t="array" ref="M1134">_xlfn.IFS(L1134="Retirement","Voluntary",L1134="Resignation","Voluntary",L1134="Layoff","InVoluntary")</f>
        <v>Voluntary</v>
      </c>
      <c r="N1134" s="4" t="s">
        <v>26</v>
      </c>
      <c r="O1134" s="41"/>
      <c r="P1134">
        <v>1</v>
      </c>
      <c r="Q1134" t="s">
        <v>173</v>
      </c>
    </row>
    <row r="1135" spans="1:17" x14ac:dyDescent="0.35">
      <c r="A1135" s="4">
        <v>6474</v>
      </c>
      <c r="B1135" s="5">
        <v>41864</v>
      </c>
      <c r="C1135" s="5">
        <v>43831</v>
      </c>
      <c r="D1135" s="4">
        <v>6</v>
      </c>
      <c r="E1135" s="6" t="str" cm="1">
        <f t="array" ref="E1135">_xlfn.IFS(D1135&lt;=5,"Newcomer",AND(D1135&gt;=6,D1135&lt;=10),"Proficient",D1135&gt;10,"Expert")</f>
        <v>Proficient</v>
      </c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 t="str" cm="1">
        <f t="array" ref="M1135">_xlfn.IFS(L1135="Retirement","Voluntary",L1135="Resignation","Voluntary",L1135="Layoff","InVoluntary")</f>
        <v>InVoluntary</v>
      </c>
      <c r="N1135" s="4" t="s">
        <v>26</v>
      </c>
      <c r="O1135" s="41"/>
      <c r="P1135">
        <v>1</v>
      </c>
      <c r="Q1135" t="s">
        <v>174</v>
      </c>
    </row>
    <row r="1136" spans="1:17" x14ac:dyDescent="0.35">
      <c r="A1136" s="4">
        <v>6478</v>
      </c>
      <c r="B1136" s="5">
        <v>38860</v>
      </c>
      <c r="C1136" s="5">
        <v>43929</v>
      </c>
      <c r="D1136" s="4">
        <v>14</v>
      </c>
      <c r="E1136" s="6" t="str" cm="1">
        <f t="array" ref="E1136">_xlfn.IFS(D1136&lt;=5,"Newcomer",AND(D1136&gt;=6,D1136&lt;=10),"Proficient",D1136&gt;10,"Expert")</f>
        <v>Expert</v>
      </c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 t="str" cm="1">
        <f t="array" ref="M1136">_xlfn.IFS(L1136="Retirement","Voluntary",L1136="Resignation","Voluntary",L1136="Layoff","InVoluntary")</f>
        <v>Voluntary</v>
      </c>
      <c r="N1136" s="4" t="s">
        <v>26</v>
      </c>
      <c r="O1136" s="41"/>
      <c r="P1136">
        <v>1</v>
      </c>
      <c r="Q1136" t="s">
        <v>173</v>
      </c>
    </row>
    <row r="1137" spans="1:17" x14ac:dyDescent="0.35">
      <c r="A1137" s="4">
        <v>6480</v>
      </c>
      <c r="B1137" s="5">
        <v>36551</v>
      </c>
      <c r="C1137" s="5">
        <v>43984</v>
      </c>
      <c r="D1137" s="4">
        <v>20</v>
      </c>
      <c r="E1137" s="6" t="str" cm="1">
        <f t="array" ref="E1137">_xlfn.IFS(D1137&lt;=5,"Newcomer",AND(D1137&gt;=6,D1137&lt;=10),"Proficient",D1137&gt;10,"Expert")</f>
        <v>Expert</v>
      </c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 t="str" cm="1">
        <f t="array" ref="M1137">_xlfn.IFS(L1137="Retirement","Voluntary",L1137="Resignation","Voluntary",L1137="Layoff","InVoluntary")</f>
        <v>InVoluntary</v>
      </c>
      <c r="N1137" s="4" t="s">
        <v>26</v>
      </c>
      <c r="O1137" s="41"/>
      <c r="P1137">
        <v>1</v>
      </c>
      <c r="Q1137" t="s">
        <v>174</v>
      </c>
    </row>
    <row r="1138" spans="1:17" x14ac:dyDescent="0.35">
      <c r="A1138" s="4">
        <v>6482</v>
      </c>
      <c r="B1138" s="5">
        <v>39993</v>
      </c>
      <c r="C1138" s="5">
        <v>44059</v>
      </c>
      <c r="D1138" s="4">
        <v>11</v>
      </c>
      <c r="E1138" s="6" t="str" cm="1">
        <f t="array" ref="E1138">_xlfn.IFS(D1138&lt;=5,"Newcomer",AND(D1138&gt;=6,D1138&lt;=10),"Proficient",D1138&gt;10,"Expert")</f>
        <v>Expert</v>
      </c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 t="str" cm="1">
        <f t="array" ref="M1138">_xlfn.IFS(L1138="Retirement","Voluntary",L1138="Resignation","Voluntary",L1138="Layoff","InVoluntary")</f>
        <v>InVoluntary</v>
      </c>
      <c r="N1138" s="4" t="s">
        <v>26</v>
      </c>
      <c r="O1138" s="41"/>
      <c r="P1138">
        <v>1</v>
      </c>
      <c r="Q1138" t="s">
        <v>174</v>
      </c>
    </row>
    <row r="1139" spans="1:17" x14ac:dyDescent="0.35">
      <c r="A1139" s="4">
        <v>6485</v>
      </c>
      <c r="B1139" s="5">
        <v>39288</v>
      </c>
      <c r="C1139" s="5">
        <v>44033</v>
      </c>
      <c r="D1139" s="4">
        <v>13</v>
      </c>
      <c r="E1139" s="6" t="str" cm="1">
        <f t="array" ref="E1139">_xlfn.IFS(D1139&lt;=5,"Newcomer",AND(D1139&gt;=6,D1139&lt;=10),"Proficient",D1139&gt;10,"Expert")</f>
        <v>Expert</v>
      </c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 t="str" cm="1">
        <f t="array" ref="M1139">_xlfn.IFS(L1139="Retirement","Voluntary",L1139="Resignation","Voluntary",L1139="Layoff","InVoluntary")</f>
        <v>Voluntary</v>
      </c>
      <c r="N1139" s="4" t="s">
        <v>26</v>
      </c>
      <c r="O1139" s="41"/>
      <c r="P1139">
        <v>1</v>
      </c>
      <c r="Q1139" t="s">
        <v>173</v>
      </c>
    </row>
    <row r="1140" spans="1:17" x14ac:dyDescent="0.35">
      <c r="A1140" s="4">
        <v>6488</v>
      </c>
      <c r="B1140" s="5">
        <v>37986</v>
      </c>
      <c r="C1140" s="5">
        <v>44122</v>
      </c>
      <c r="D1140" s="4">
        <v>17</v>
      </c>
      <c r="E1140" s="6" t="str" cm="1">
        <f t="array" ref="E1140">_xlfn.IFS(D1140&lt;=5,"Newcomer",AND(D1140&gt;=6,D1140&lt;=10),"Proficient",D1140&gt;10,"Expert")</f>
        <v>Expert</v>
      </c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 t="str" cm="1">
        <f t="array" ref="M1140">_xlfn.IFS(L1140="Retirement","Voluntary",L1140="Resignation","Voluntary",L1140="Layoff","InVoluntary")</f>
        <v>InVoluntary</v>
      </c>
      <c r="N1140" s="4" t="s">
        <v>26</v>
      </c>
      <c r="O1140" s="41"/>
      <c r="P1140">
        <v>1</v>
      </c>
      <c r="Q1140" t="s">
        <v>174</v>
      </c>
    </row>
    <row r="1141" spans="1:17" x14ac:dyDescent="0.35">
      <c r="A1141" s="4">
        <v>6512</v>
      </c>
      <c r="B1141" s="5">
        <v>34523</v>
      </c>
      <c r="C1141" s="5">
        <v>44121</v>
      </c>
      <c r="D1141" s="4">
        <v>26</v>
      </c>
      <c r="E1141" s="6" t="str" cm="1">
        <f t="array" ref="E1141">_xlfn.IFS(D1141&lt;=5,"Newcomer",AND(D1141&gt;=6,D1141&lt;=10),"Proficient",D1141&gt;10,"Expert")</f>
        <v>Expert</v>
      </c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 t="str" cm="1">
        <f t="array" ref="M1141">_xlfn.IFS(L1141="Retirement","Voluntary",L1141="Resignation","Voluntary",L1141="Layoff","InVoluntary")</f>
        <v>Voluntary</v>
      </c>
      <c r="N1141" s="4" t="s">
        <v>26</v>
      </c>
      <c r="O1141" s="41"/>
      <c r="P1141">
        <v>1</v>
      </c>
      <c r="Q1141" t="s">
        <v>173</v>
      </c>
    </row>
    <row r="1142" spans="1:17" x14ac:dyDescent="0.35">
      <c r="A1142" s="4">
        <v>6525</v>
      </c>
      <c r="B1142" s="5">
        <v>40207</v>
      </c>
      <c r="C1142" s="5">
        <v>43871</v>
      </c>
      <c r="D1142" s="4">
        <v>10</v>
      </c>
      <c r="E1142" s="6" t="str" cm="1">
        <f t="array" ref="E1142">_xlfn.IFS(D1142&lt;=5,"Newcomer",AND(D1142&gt;=6,D1142&lt;=10),"Proficient",D1142&gt;10,"Expert")</f>
        <v>Proficient</v>
      </c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 t="str" cm="1">
        <f t="array" ref="M1142">_xlfn.IFS(L1142="Retirement","Voluntary",L1142="Resignation","Voluntary",L1142="Layoff","InVoluntary")</f>
        <v>Voluntary</v>
      </c>
      <c r="N1142" s="4" t="s">
        <v>26</v>
      </c>
      <c r="O1142" s="41"/>
      <c r="P1142">
        <v>1</v>
      </c>
      <c r="Q1142" t="s">
        <v>173</v>
      </c>
    </row>
    <row r="1143" spans="1:17" x14ac:dyDescent="0.35">
      <c r="A1143" s="4">
        <v>6528</v>
      </c>
      <c r="B1143" s="5">
        <v>36974</v>
      </c>
      <c r="C1143" s="5">
        <v>43908</v>
      </c>
      <c r="D1143" s="4">
        <v>19</v>
      </c>
      <c r="E1143" s="6" t="str" cm="1">
        <f t="array" ref="E1143">_xlfn.IFS(D1143&lt;=5,"Newcomer",AND(D1143&gt;=6,D1143&lt;=10),"Proficient",D1143&gt;10,"Expert")</f>
        <v>Expert</v>
      </c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 t="str" cm="1">
        <f t="array" ref="M1143">_xlfn.IFS(L1143="Retirement","Voluntary",L1143="Resignation","Voluntary",L1143="Layoff","InVoluntary")</f>
        <v>InVoluntary</v>
      </c>
      <c r="N1143" s="4" t="s">
        <v>26</v>
      </c>
      <c r="O1143" s="41"/>
      <c r="P1143">
        <v>1</v>
      </c>
      <c r="Q1143" t="s">
        <v>174</v>
      </c>
    </row>
    <row r="1144" spans="1:17" x14ac:dyDescent="0.35">
      <c r="A1144" s="4">
        <v>6540</v>
      </c>
      <c r="B1144" s="5">
        <v>33591</v>
      </c>
      <c r="C1144" s="5">
        <v>44176</v>
      </c>
      <c r="D1144" s="4">
        <v>29</v>
      </c>
      <c r="E1144" s="6" t="str" cm="1">
        <f t="array" ref="E1144">_xlfn.IFS(D1144&lt;=5,"Newcomer",AND(D1144&gt;=6,D1144&lt;=10),"Proficient",D1144&gt;10,"Expert")</f>
        <v>Expert</v>
      </c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 t="str" cm="1">
        <f t="array" ref="M1144">_xlfn.IFS(L1144="Retirement","Voluntary",L1144="Resignation","Voluntary",L1144="Layoff","InVoluntary")</f>
        <v>Voluntary</v>
      </c>
      <c r="N1144" s="4" t="s">
        <v>26</v>
      </c>
      <c r="O1144" s="41"/>
      <c r="P1144">
        <v>1</v>
      </c>
      <c r="Q1144" t="s">
        <v>173</v>
      </c>
    </row>
    <row r="1145" spans="1:17" x14ac:dyDescent="0.35">
      <c r="A1145" s="4">
        <v>6561</v>
      </c>
      <c r="B1145" s="5">
        <v>38129</v>
      </c>
      <c r="C1145" s="5">
        <v>44141</v>
      </c>
      <c r="D1145" s="4">
        <v>16</v>
      </c>
      <c r="E1145" s="6" t="str" cm="1">
        <f t="array" ref="E1145">_xlfn.IFS(D1145&lt;=5,"Newcomer",AND(D1145&gt;=6,D1145&lt;=10),"Proficient",D1145&gt;10,"Expert")</f>
        <v>Expert</v>
      </c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 t="str" cm="1">
        <f t="array" ref="M1145">_xlfn.IFS(L1145="Retirement","Voluntary",L1145="Resignation","Voluntary",L1145="Layoff","InVoluntary")</f>
        <v>Voluntary</v>
      </c>
      <c r="N1145" s="4" t="s">
        <v>26</v>
      </c>
      <c r="O1145" s="41"/>
      <c r="P1145">
        <v>1</v>
      </c>
      <c r="Q1145" t="s">
        <v>173</v>
      </c>
    </row>
    <row r="1146" spans="1:17" x14ac:dyDescent="0.35">
      <c r="A1146" s="4">
        <v>6567</v>
      </c>
      <c r="B1146" s="5">
        <v>37151</v>
      </c>
      <c r="C1146" s="5">
        <v>44080</v>
      </c>
      <c r="D1146" s="4">
        <v>19</v>
      </c>
      <c r="E1146" s="6" t="str" cm="1">
        <f t="array" ref="E1146">_xlfn.IFS(D1146&lt;=5,"Newcomer",AND(D1146&gt;=6,D1146&lt;=10),"Proficient",D1146&gt;10,"Expert")</f>
        <v>Expert</v>
      </c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 t="str" cm="1">
        <f t="array" ref="M1146">_xlfn.IFS(L1146="Retirement","Voluntary",L1146="Resignation","Voluntary",L1146="Layoff","InVoluntary")</f>
        <v>Voluntary</v>
      </c>
      <c r="N1146" s="4" t="s">
        <v>26</v>
      </c>
      <c r="O1146" s="41"/>
      <c r="P1146">
        <v>1</v>
      </c>
      <c r="Q1146" t="s">
        <v>173</v>
      </c>
    </row>
    <row r="1147" spans="1:17" x14ac:dyDescent="0.35">
      <c r="A1147" s="4">
        <v>6568</v>
      </c>
      <c r="B1147" s="5">
        <v>33580</v>
      </c>
      <c r="C1147" s="5">
        <v>44069</v>
      </c>
      <c r="D1147" s="4">
        <v>29</v>
      </c>
      <c r="E1147" s="6" t="str" cm="1">
        <f t="array" ref="E1147">_xlfn.IFS(D1147&lt;=5,"Newcomer",AND(D1147&gt;=6,D1147&lt;=10),"Proficient",D1147&gt;10,"Expert")</f>
        <v>Expert</v>
      </c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 t="str" cm="1">
        <f t="array" ref="M1147">_xlfn.IFS(L1147="Retirement","Voluntary",L1147="Resignation","Voluntary",L1147="Layoff","InVoluntary")</f>
        <v>Voluntary</v>
      </c>
      <c r="N1147" s="4" t="s">
        <v>26</v>
      </c>
      <c r="O1147" s="41"/>
      <c r="P1147">
        <v>1</v>
      </c>
      <c r="Q1147" t="s">
        <v>173</v>
      </c>
    </row>
    <row r="1148" spans="1:17" x14ac:dyDescent="0.35">
      <c r="A1148" s="4">
        <v>6577</v>
      </c>
      <c r="B1148" s="5">
        <v>36064</v>
      </c>
      <c r="C1148" s="5">
        <v>44040</v>
      </c>
      <c r="D1148" s="4">
        <v>22</v>
      </c>
      <c r="E1148" s="6" t="str" cm="1">
        <f t="array" ref="E1148">_xlfn.IFS(D1148&lt;=5,"Newcomer",AND(D1148&gt;=6,D1148&lt;=10),"Proficient",D1148&gt;10,"Expert")</f>
        <v>Expert</v>
      </c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 t="str" cm="1">
        <f t="array" ref="M1148">_xlfn.IFS(L1148="Retirement","Voluntary",L1148="Resignation","Voluntary",L1148="Layoff","InVoluntary")</f>
        <v>InVoluntary</v>
      </c>
      <c r="N1148" s="4" t="s">
        <v>26</v>
      </c>
      <c r="O1148" s="41"/>
      <c r="P1148">
        <v>1</v>
      </c>
      <c r="Q1148" t="s">
        <v>174</v>
      </c>
    </row>
    <row r="1149" spans="1:17" x14ac:dyDescent="0.35">
      <c r="A1149" s="4">
        <v>6580</v>
      </c>
      <c r="B1149" s="5">
        <v>35098</v>
      </c>
      <c r="C1149" s="5">
        <v>44169</v>
      </c>
      <c r="D1149" s="4">
        <v>24</v>
      </c>
      <c r="E1149" s="6" t="str" cm="1">
        <f t="array" ref="E1149">_xlfn.IFS(D1149&lt;=5,"Newcomer",AND(D1149&gt;=6,D1149&lt;=10),"Proficient",D1149&gt;10,"Expert")</f>
        <v>Expert</v>
      </c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 t="str" cm="1">
        <f t="array" ref="M1149">_xlfn.IFS(L1149="Retirement","Voluntary",L1149="Resignation","Voluntary",L1149="Layoff","InVoluntary")</f>
        <v>InVoluntary</v>
      </c>
      <c r="N1149" s="4" t="s">
        <v>26</v>
      </c>
      <c r="O1149" s="41"/>
      <c r="P1149">
        <v>1</v>
      </c>
      <c r="Q1149" t="s">
        <v>174</v>
      </c>
    </row>
    <row r="1150" spans="1:17" x14ac:dyDescent="0.35">
      <c r="A1150" s="4">
        <v>6586</v>
      </c>
      <c r="B1150" s="5">
        <v>36549</v>
      </c>
      <c r="C1150" s="5">
        <v>44127</v>
      </c>
      <c r="D1150" s="4">
        <v>20</v>
      </c>
      <c r="E1150" s="6" t="str" cm="1">
        <f t="array" ref="E1150">_xlfn.IFS(D1150&lt;=5,"Newcomer",AND(D1150&gt;=6,D1150&lt;=10),"Proficient",D1150&gt;10,"Expert")</f>
        <v>Expert</v>
      </c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 t="str" cm="1">
        <f t="array" ref="M1150">_xlfn.IFS(L1150="Retirement","Voluntary",L1150="Resignation","Voluntary",L1150="Layoff","InVoluntary")</f>
        <v>InVoluntary</v>
      </c>
      <c r="N1150" s="4" t="s">
        <v>26</v>
      </c>
      <c r="O1150" s="41"/>
      <c r="P1150">
        <v>1</v>
      </c>
      <c r="Q1150" t="s">
        <v>174</v>
      </c>
    </row>
    <row r="1151" spans="1:17" x14ac:dyDescent="0.35">
      <c r="A1151" s="4">
        <v>6587</v>
      </c>
      <c r="B1151" s="5">
        <v>41416</v>
      </c>
      <c r="C1151" s="5">
        <v>44126</v>
      </c>
      <c r="D1151" s="4">
        <v>7</v>
      </c>
      <c r="E1151" s="6" t="str" cm="1">
        <f t="array" ref="E1151">_xlfn.IFS(D1151&lt;=5,"Newcomer",AND(D1151&gt;=6,D1151&lt;=10),"Proficient",D1151&gt;10,"Expert")</f>
        <v>Proficient</v>
      </c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 t="str" cm="1">
        <f t="array" ref="M1151">_xlfn.IFS(L1151="Retirement","Voluntary",L1151="Resignation","Voluntary",L1151="Layoff","InVoluntary")</f>
        <v>Voluntary</v>
      </c>
      <c r="N1151" s="4" t="s">
        <v>26</v>
      </c>
      <c r="O1151" s="41"/>
      <c r="P1151">
        <v>1</v>
      </c>
      <c r="Q1151" t="s">
        <v>173</v>
      </c>
    </row>
    <row r="1152" spans="1:17" x14ac:dyDescent="0.35">
      <c r="A1152" s="4">
        <v>6616</v>
      </c>
      <c r="B1152" s="5">
        <v>40618</v>
      </c>
      <c r="C1152" s="5">
        <v>44064</v>
      </c>
      <c r="D1152" s="4">
        <v>9</v>
      </c>
      <c r="E1152" s="6" t="str" cm="1">
        <f t="array" ref="E1152">_xlfn.IFS(D1152&lt;=5,"Newcomer",AND(D1152&gt;=6,D1152&lt;=10),"Proficient",D1152&gt;10,"Expert")</f>
        <v>Proficient</v>
      </c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 t="str" cm="1">
        <f t="array" ref="M1152">_xlfn.IFS(L1152="Retirement","Voluntary",L1152="Resignation","Voluntary",L1152="Layoff","InVoluntary")</f>
        <v>Voluntary</v>
      </c>
      <c r="N1152" s="4" t="s">
        <v>26</v>
      </c>
      <c r="O1152" s="41"/>
      <c r="P1152">
        <v>1</v>
      </c>
      <c r="Q1152" t="s">
        <v>173</v>
      </c>
    </row>
    <row r="1153" spans="1:17" x14ac:dyDescent="0.35">
      <c r="A1153" s="4">
        <v>6621</v>
      </c>
      <c r="B1153" s="5">
        <v>35338</v>
      </c>
      <c r="C1153" s="5">
        <v>43968</v>
      </c>
      <c r="D1153" s="4">
        <v>24</v>
      </c>
      <c r="E1153" s="6" t="str" cm="1">
        <f t="array" ref="E1153">_xlfn.IFS(D1153&lt;=5,"Newcomer",AND(D1153&gt;=6,D1153&lt;=10),"Proficient",D1153&gt;10,"Expert")</f>
        <v>Expert</v>
      </c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 t="str" cm="1">
        <f t="array" ref="M1153">_xlfn.IFS(L1153="Retirement","Voluntary",L1153="Resignation","Voluntary",L1153="Layoff","InVoluntary")</f>
        <v>Voluntary</v>
      </c>
      <c r="N1153" s="4" t="s">
        <v>26</v>
      </c>
      <c r="O1153" s="41"/>
      <c r="P1153">
        <v>1</v>
      </c>
      <c r="Q1153" t="s">
        <v>173</v>
      </c>
    </row>
    <row r="1154" spans="1:17" x14ac:dyDescent="0.35">
      <c r="A1154" s="4">
        <v>6624</v>
      </c>
      <c r="B1154" s="5">
        <v>37882</v>
      </c>
      <c r="C1154" s="5">
        <v>43893</v>
      </c>
      <c r="D1154" s="4">
        <v>17</v>
      </c>
      <c r="E1154" s="6" t="str" cm="1">
        <f t="array" ref="E1154">_xlfn.IFS(D1154&lt;=5,"Newcomer",AND(D1154&gt;=6,D1154&lt;=10),"Proficient",D1154&gt;10,"Expert")</f>
        <v>Expert</v>
      </c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 t="str" cm="1">
        <f t="array" ref="M1154">_xlfn.IFS(L1154="Retirement","Voluntary",L1154="Resignation","Voluntary",L1154="Layoff","InVoluntary")</f>
        <v>Voluntary</v>
      </c>
      <c r="N1154" s="4" t="s">
        <v>26</v>
      </c>
      <c r="O1154" s="41"/>
      <c r="P1154">
        <v>1</v>
      </c>
      <c r="Q1154" t="s">
        <v>173</v>
      </c>
    </row>
    <row r="1155" spans="1:17" x14ac:dyDescent="0.35">
      <c r="A1155" s="4">
        <v>6626</v>
      </c>
      <c r="B1155" s="5">
        <v>33007</v>
      </c>
      <c r="C1155" s="5">
        <v>44123</v>
      </c>
      <c r="D1155" s="4">
        <v>30</v>
      </c>
      <c r="E1155" s="6" t="str" cm="1">
        <f t="array" ref="E1155">_xlfn.IFS(D1155&lt;=5,"Newcomer",AND(D1155&gt;=6,D1155&lt;=10),"Proficient",D1155&gt;10,"Expert")</f>
        <v>Expert</v>
      </c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 t="str" cm="1">
        <f t="array" ref="M1155">_xlfn.IFS(L1155="Retirement","Voluntary",L1155="Resignation","Voluntary",L1155="Layoff","InVoluntary")</f>
        <v>Voluntary</v>
      </c>
      <c r="N1155" s="4" t="s">
        <v>26</v>
      </c>
      <c r="O1155" s="41"/>
      <c r="P1155">
        <v>1</v>
      </c>
      <c r="Q1155" t="s">
        <v>173</v>
      </c>
    </row>
    <row r="1156" spans="1:17" x14ac:dyDescent="0.35">
      <c r="A1156" s="4">
        <v>6631</v>
      </c>
      <c r="B1156" s="5">
        <v>36311</v>
      </c>
      <c r="C1156" s="5">
        <v>43883</v>
      </c>
      <c r="D1156" s="4">
        <v>21</v>
      </c>
      <c r="E1156" s="6" t="str" cm="1">
        <f t="array" ref="E1156">_xlfn.IFS(D1156&lt;=5,"Newcomer",AND(D1156&gt;=6,D1156&lt;=10),"Proficient",D1156&gt;10,"Expert")</f>
        <v>Expert</v>
      </c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 t="str" cm="1">
        <f t="array" ref="M1156">_xlfn.IFS(L1156="Retirement","Voluntary",L1156="Resignation","Voluntary",L1156="Layoff","InVoluntary")</f>
        <v>Voluntary</v>
      </c>
      <c r="N1156" s="4" t="s">
        <v>26</v>
      </c>
      <c r="O1156" s="41"/>
      <c r="P1156">
        <v>1</v>
      </c>
      <c r="Q1156" t="s">
        <v>173</v>
      </c>
    </row>
    <row r="1157" spans="1:17" x14ac:dyDescent="0.35">
      <c r="A1157" s="4">
        <v>6632</v>
      </c>
      <c r="B1157" s="5">
        <v>36923</v>
      </c>
      <c r="C1157" s="5">
        <v>44013</v>
      </c>
      <c r="D1157" s="4">
        <v>19</v>
      </c>
      <c r="E1157" s="6" t="str" cm="1">
        <f t="array" ref="E1157">_xlfn.IFS(D1157&lt;=5,"Newcomer",AND(D1157&gt;=6,D1157&lt;=10),"Proficient",D1157&gt;10,"Expert")</f>
        <v>Expert</v>
      </c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 t="str" cm="1">
        <f t="array" ref="M1157">_xlfn.IFS(L1157="Retirement","Voluntary",L1157="Resignation","Voluntary",L1157="Layoff","InVoluntary")</f>
        <v>Voluntary</v>
      </c>
      <c r="N1157" s="4" t="s">
        <v>26</v>
      </c>
      <c r="O1157" s="41"/>
      <c r="P1157">
        <v>1</v>
      </c>
      <c r="Q1157" t="s">
        <v>173</v>
      </c>
    </row>
    <row r="1158" spans="1:17" x14ac:dyDescent="0.35">
      <c r="A1158" s="4">
        <v>6633</v>
      </c>
      <c r="B1158" s="5">
        <v>40076</v>
      </c>
      <c r="C1158" s="5">
        <v>44131</v>
      </c>
      <c r="D1158" s="4">
        <v>11</v>
      </c>
      <c r="E1158" s="6" t="str" cm="1">
        <f t="array" ref="E1158">_xlfn.IFS(D1158&lt;=5,"Newcomer",AND(D1158&gt;=6,D1158&lt;=10),"Proficient",D1158&gt;10,"Expert")</f>
        <v>Expert</v>
      </c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 t="str" cm="1">
        <f t="array" ref="M1158">_xlfn.IFS(L1158="Retirement","Voluntary",L1158="Resignation","Voluntary",L1158="Layoff","InVoluntary")</f>
        <v>Voluntary</v>
      </c>
      <c r="N1158" s="4" t="s">
        <v>26</v>
      </c>
      <c r="O1158" s="41"/>
      <c r="P1158">
        <v>1</v>
      </c>
      <c r="Q1158" t="s">
        <v>173</v>
      </c>
    </row>
    <row r="1159" spans="1:17" x14ac:dyDescent="0.35">
      <c r="A1159" s="4">
        <v>6635</v>
      </c>
      <c r="B1159" s="5">
        <v>41249</v>
      </c>
      <c r="C1159" s="5">
        <v>44026</v>
      </c>
      <c r="D1159" s="4">
        <v>8</v>
      </c>
      <c r="E1159" s="6" t="str" cm="1">
        <f t="array" ref="E1159">_xlfn.IFS(D1159&lt;=5,"Newcomer",AND(D1159&gt;=6,D1159&lt;=10),"Proficient",D1159&gt;10,"Expert")</f>
        <v>Proficient</v>
      </c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 t="str" cm="1">
        <f t="array" ref="M1159">_xlfn.IFS(L1159="Retirement","Voluntary",L1159="Resignation","Voluntary",L1159="Layoff","InVoluntary")</f>
        <v>Voluntary</v>
      </c>
      <c r="N1159" s="4" t="s">
        <v>26</v>
      </c>
      <c r="O1159" s="41"/>
      <c r="P1159">
        <v>1</v>
      </c>
      <c r="Q1159" t="s">
        <v>173</v>
      </c>
    </row>
    <row r="1160" spans="1:17" x14ac:dyDescent="0.35">
      <c r="A1160" s="4">
        <v>6638</v>
      </c>
      <c r="B1160" s="5">
        <v>39415</v>
      </c>
      <c r="C1160" s="5">
        <v>43925</v>
      </c>
      <c r="D1160" s="4">
        <v>13</v>
      </c>
      <c r="E1160" s="6" t="str" cm="1">
        <f t="array" ref="E1160">_xlfn.IFS(D1160&lt;=5,"Newcomer",AND(D1160&gt;=6,D1160&lt;=10),"Proficient",D1160&gt;10,"Expert")</f>
        <v>Expert</v>
      </c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 t="str" cm="1">
        <f t="array" ref="M1160">_xlfn.IFS(L1160="Retirement","Voluntary",L1160="Resignation","Voluntary",L1160="Layoff","InVoluntary")</f>
        <v>Voluntary</v>
      </c>
      <c r="N1160" s="4" t="s">
        <v>26</v>
      </c>
      <c r="O1160" s="41"/>
      <c r="P1160">
        <v>1</v>
      </c>
      <c r="Q1160" t="s">
        <v>173</v>
      </c>
    </row>
    <row r="1161" spans="1:17" x14ac:dyDescent="0.35">
      <c r="A1161" s="4">
        <v>6639</v>
      </c>
      <c r="B1161" s="5">
        <v>35135</v>
      </c>
      <c r="C1161" s="5">
        <v>43832</v>
      </c>
      <c r="D1161" s="4">
        <v>24</v>
      </c>
      <c r="E1161" s="6" t="str" cm="1">
        <f t="array" ref="E1161">_xlfn.IFS(D1161&lt;=5,"Newcomer",AND(D1161&gt;=6,D1161&lt;=10),"Proficient",D1161&gt;10,"Expert")</f>
        <v>Expert</v>
      </c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 t="str" cm="1">
        <f t="array" ref="M1161">_xlfn.IFS(L1161="Retirement","Voluntary",L1161="Resignation","Voluntary",L1161="Layoff","InVoluntary")</f>
        <v>Voluntary</v>
      </c>
      <c r="N1161" s="4" t="s">
        <v>26</v>
      </c>
      <c r="O1161" s="41"/>
      <c r="P1161">
        <v>1</v>
      </c>
      <c r="Q1161" t="s">
        <v>173</v>
      </c>
    </row>
    <row r="1162" spans="1:17" x14ac:dyDescent="0.35">
      <c r="A1162" s="4">
        <v>6640</v>
      </c>
      <c r="B1162" s="5">
        <v>33289</v>
      </c>
      <c r="C1162" s="5">
        <v>43833</v>
      </c>
      <c r="D1162" s="4">
        <v>29</v>
      </c>
      <c r="E1162" s="6" t="str" cm="1">
        <f t="array" ref="E1162">_xlfn.IFS(D1162&lt;=5,"Newcomer",AND(D1162&gt;=6,D1162&lt;=10),"Proficient",D1162&gt;10,"Expert")</f>
        <v>Expert</v>
      </c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 t="str" cm="1">
        <f t="array" ref="M1162">_xlfn.IFS(L1162="Retirement","Voluntary",L1162="Resignation","Voluntary",L1162="Layoff","InVoluntary")</f>
        <v>InVoluntary</v>
      </c>
      <c r="N1162" s="4" t="s">
        <v>26</v>
      </c>
      <c r="O1162" s="41"/>
      <c r="P1162">
        <v>1</v>
      </c>
      <c r="Q1162" t="s">
        <v>174</v>
      </c>
    </row>
    <row r="1163" spans="1:17" x14ac:dyDescent="0.35">
      <c r="A1163" s="4">
        <v>6641</v>
      </c>
      <c r="B1163" s="5">
        <v>39015</v>
      </c>
      <c r="C1163" s="5">
        <v>44161</v>
      </c>
      <c r="D1163" s="4">
        <v>14</v>
      </c>
      <c r="E1163" s="6" t="str" cm="1">
        <f t="array" ref="E1163">_xlfn.IFS(D1163&lt;=5,"Newcomer",AND(D1163&gt;=6,D1163&lt;=10),"Proficient",D1163&gt;10,"Expert")</f>
        <v>Expert</v>
      </c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 t="str" cm="1">
        <f t="array" ref="M1163">_xlfn.IFS(L1163="Retirement","Voluntary",L1163="Resignation","Voluntary",L1163="Layoff","InVoluntary")</f>
        <v>Voluntary</v>
      </c>
      <c r="N1163" s="4" t="s">
        <v>26</v>
      </c>
      <c r="O1163" s="41"/>
      <c r="P1163">
        <v>1</v>
      </c>
      <c r="Q1163" t="s">
        <v>173</v>
      </c>
    </row>
    <row r="1164" spans="1:17" x14ac:dyDescent="0.35">
      <c r="A1164" s="4">
        <v>6642</v>
      </c>
      <c r="B1164" s="5">
        <v>34200</v>
      </c>
      <c r="C1164" s="5">
        <v>44063</v>
      </c>
      <c r="D1164" s="4">
        <v>27</v>
      </c>
      <c r="E1164" s="6" t="str" cm="1">
        <f t="array" ref="E1164">_xlfn.IFS(D1164&lt;=5,"Newcomer",AND(D1164&gt;=6,D1164&lt;=10),"Proficient",D1164&gt;10,"Expert")</f>
        <v>Expert</v>
      </c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 t="str" cm="1">
        <f t="array" ref="M1164">_xlfn.IFS(L1164="Retirement","Voluntary",L1164="Resignation","Voluntary",L1164="Layoff","InVoluntary")</f>
        <v>Voluntary</v>
      </c>
      <c r="N1164" s="4" t="s">
        <v>26</v>
      </c>
      <c r="O1164" s="41"/>
      <c r="P1164">
        <v>1</v>
      </c>
      <c r="Q1164" t="s">
        <v>173</v>
      </c>
    </row>
    <row r="1165" spans="1:17" x14ac:dyDescent="0.35">
      <c r="A1165" s="4">
        <v>6654</v>
      </c>
      <c r="B1165" s="5">
        <v>41082</v>
      </c>
      <c r="C1165" s="5">
        <v>44006</v>
      </c>
      <c r="D1165" s="4">
        <v>8</v>
      </c>
      <c r="E1165" s="6" t="str" cm="1">
        <f t="array" ref="E1165">_xlfn.IFS(D1165&lt;=5,"Newcomer",AND(D1165&gt;=6,D1165&lt;=10),"Proficient",D1165&gt;10,"Expert")</f>
        <v>Proficient</v>
      </c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 t="str" cm="1">
        <f t="array" ref="M1165">_xlfn.IFS(L1165="Retirement","Voluntary",L1165="Resignation","Voluntary",L1165="Layoff","InVoluntary")</f>
        <v>InVoluntary</v>
      </c>
      <c r="N1165" s="4" t="s">
        <v>26</v>
      </c>
      <c r="O1165" s="41"/>
      <c r="P1165">
        <v>1</v>
      </c>
      <c r="Q1165" t="s">
        <v>174</v>
      </c>
    </row>
    <row r="1166" spans="1:17" x14ac:dyDescent="0.35">
      <c r="A1166" s="4">
        <v>6666</v>
      </c>
      <c r="B1166" s="5">
        <v>37331</v>
      </c>
      <c r="C1166" s="5">
        <v>44073</v>
      </c>
      <c r="D1166" s="4">
        <v>18</v>
      </c>
      <c r="E1166" s="6" t="str" cm="1">
        <f t="array" ref="E1166">_xlfn.IFS(D1166&lt;=5,"Newcomer",AND(D1166&gt;=6,D1166&lt;=10),"Proficient",D1166&gt;10,"Expert")</f>
        <v>Expert</v>
      </c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 t="str" cm="1">
        <f t="array" ref="M1166">_xlfn.IFS(L1166="Retirement","Voluntary",L1166="Resignation","Voluntary",L1166="Layoff","InVoluntary")</f>
        <v>Voluntary</v>
      </c>
      <c r="N1166" s="4" t="s">
        <v>26</v>
      </c>
      <c r="O1166" s="41"/>
      <c r="P1166">
        <v>1</v>
      </c>
      <c r="Q1166" t="s">
        <v>173</v>
      </c>
    </row>
    <row r="1167" spans="1:17" x14ac:dyDescent="0.35">
      <c r="A1167" s="4">
        <v>6676</v>
      </c>
      <c r="B1167" s="5">
        <v>33664</v>
      </c>
      <c r="C1167" s="5">
        <v>43906</v>
      </c>
      <c r="D1167" s="4">
        <v>28</v>
      </c>
      <c r="E1167" s="6" t="str" cm="1">
        <f t="array" ref="E1167">_xlfn.IFS(D1167&lt;=5,"Newcomer",AND(D1167&gt;=6,D1167&lt;=10),"Proficient",D1167&gt;10,"Expert")</f>
        <v>Expert</v>
      </c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 t="str" cm="1">
        <f t="array" ref="M1167">_xlfn.IFS(L1167="Retirement","Voluntary",L1167="Resignation","Voluntary",L1167="Layoff","InVoluntary")</f>
        <v>InVoluntary</v>
      </c>
      <c r="N1167" s="4" t="s">
        <v>26</v>
      </c>
      <c r="O1167" s="41"/>
      <c r="P1167">
        <v>1</v>
      </c>
      <c r="Q1167" t="s">
        <v>174</v>
      </c>
    </row>
    <row r="1168" spans="1:17" x14ac:dyDescent="0.35">
      <c r="A1168" s="4">
        <v>6680</v>
      </c>
      <c r="B1168" s="5">
        <v>40562</v>
      </c>
      <c r="C1168" s="5">
        <v>44074</v>
      </c>
      <c r="D1168" s="4">
        <v>9</v>
      </c>
      <c r="E1168" s="6" t="str" cm="1">
        <f t="array" ref="E1168">_xlfn.IFS(D1168&lt;=5,"Newcomer",AND(D1168&gt;=6,D1168&lt;=10),"Proficient",D1168&gt;10,"Expert")</f>
        <v>Proficient</v>
      </c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 t="str" cm="1">
        <f t="array" ref="M1168">_xlfn.IFS(L1168="Retirement","Voluntary",L1168="Resignation","Voluntary",L1168="Layoff","InVoluntary")</f>
        <v>Voluntary</v>
      </c>
      <c r="N1168" s="4" t="s">
        <v>26</v>
      </c>
      <c r="O1168" s="41"/>
      <c r="P1168">
        <v>1</v>
      </c>
      <c r="Q1168" t="s">
        <v>173</v>
      </c>
    </row>
    <row r="1169" spans="1:17" x14ac:dyDescent="0.35">
      <c r="A1169" s="4">
        <v>6684</v>
      </c>
      <c r="B1169" s="5">
        <v>34405</v>
      </c>
      <c r="C1169" s="5">
        <v>43893</v>
      </c>
      <c r="D1169" s="4">
        <v>26</v>
      </c>
      <c r="E1169" s="6" t="str" cm="1">
        <f t="array" ref="E1169">_xlfn.IFS(D1169&lt;=5,"Newcomer",AND(D1169&gt;=6,D1169&lt;=10),"Proficient",D1169&gt;10,"Expert")</f>
        <v>Expert</v>
      </c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 t="str" cm="1">
        <f t="array" ref="M1169">_xlfn.IFS(L1169="Retirement","Voluntary",L1169="Resignation","Voluntary",L1169="Layoff","InVoluntary")</f>
        <v>Voluntary</v>
      </c>
      <c r="N1169" s="4" t="s">
        <v>26</v>
      </c>
      <c r="O1169" s="41"/>
      <c r="P1169">
        <v>1</v>
      </c>
      <c r="Q1169" t="s">
        <v>173</v>
      </c>
    </row>
    <row r="1170" spans="1:17" x14ac:dyDescent="0.35">
      <c r="A1170" s="4">
        <v>6685</v>
      </c>
      <c r="B1170" s="5">
        <v>35560</v>
      </c>
      <c r="C1170" s="5">
        <v>44167</v>
      </c>
      <c r="D1170" s="4">
        <v>23</v>
      </c>
      <c r="E1170" s="6" t="str" cm="1">
        <f t="array" ref="E1170">_xlfn.IFS(D1170&lt;=5,"Newcomer",AND(D1170&gt;=6,D1170&lt;=10),"Proficient",D1170&gt;10,"Expert")</f>
        <v>Expert</v>
      </c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 t="str" cm="1">
        <f t="array" ref="M1170">_xlfn.IFS(L1170="Retirement","Voluntary",L1170="Resignation","Voluntary",L1170="Layoff","InVoluntary")</f>
        <v>Voluntary</v>
      </c>
      <c r="N1170" s="4" t="s">
        <v>26</v>
      </c>
      <c r="O1170" s="41"/>
      <c r="P1170">
        <v>1</v>
      </c>
      <c r="Q1170" t="s">
        <v>173</v>
      </c>
    </row>
    <row r="1171" spans="1:17" x14ac:dyDescent="0.35">
      <c r="A1171" s="4">
        <v>6686</v>
      </c>
      <c r="B1171" s="5">
        <v>36758</v>
      </c>
      <c r="C1171" s="5">
        <v>44130</v>
      </c>
      <c r="D1171" s="4">
        <v>20</v>
      </c>
      <c r="E1171" s="6" t="str" cm="1">
        <f t="array" ref="E1171">_xlfn.IFS(D1171&lt;=5,"Newcomer",AND(D1171&gt;=6,D1171&lt;=10),"Proficient",D1171&gt;10,"Expert")</f>
        <v>Expert</v>
      </c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 t="str" cm="1">
        <f t="array" ref="M1171">_xlfn.IFS(L1171="Retirement","Voluntary",L1171="Resignation","Voluntary",L1171="Layoff","InVoluntary")</f>
        <v>Voluntary</v>
      </c>
      <c r="N1171" s="4" t="s">
        <v>26</v>
      </c>
      <c r="O1171" s="41"/>
      <c r="P1171">
        <v>1</v>
      </c>
      <c r="Q1171" t="s">
        <v>173</v>
      </c>
    </row>
    <row r="1172" spans="1:17" x14ac:dyDescent="0.35">
      <c r="A1172" s="4">
        <v>6688</v>
      </c>
      <c r="B1172" s="5">
        <v>35119</v>
      </c>
      <c r="C1172" s="5">
        <v>44075</v>
      </c>
      <c r="D1172" s="4">
        <v>24</v>
      </c>
      <c r="E1172" s="6" t="str" cm="1">
        <f t="array" ref="E1172">_xlfn.IFS(D1172&lt;=5,"Newcomer",AND(D1172&gt;=6,D1172&lt;=10),"Proficient",D1172&gt;10,"Expert")</f>
        <v>Expert</v>
      </c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 t="str" cm="1">
        <f t="array" ref="M1172">_xlfn.IFS(L1172="Retirement","Voluntary",L1172="Resignation","Voluntary",L1172="Layoff","InVoluntary")</f>
        <v>Voluntary</v>
      </c>
      <c r="N1172" s="4" t="s">
        <v>26</v>
      </c>
      <c r="O1172" s="41"/>
      <c r="P1172">
        <v>1</v>
      </c>
      <c r="Q1172" t="s">
        <v>173</v>
      </c>
    </row>
    <row r="1173" spans="1:17" x14ac:dyDescent="0.35">
      <c r="A1173" s="4">
        <v>6692</v>
      </c>
      <c r="B1173" s="5">
        <v>38601</v>
      </c>
      <c r="C1173" s="5">
        <v>44091</v>
      </c>
      <c r="D1173" s="4">
        <v>15</v>
      </c>
      <c r="E1173" s="6" t="str" cm="1">
        <f t="array" ref="E1173">_xlfn.IFS(D1173&lt;=5,"Newcomer",AND(D1173&gt;=6,D1173&lt;=10),"Proficient",D1173&gt;10,"Expert")</f>
        <v>Expert</v>
      </c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 t="str" cm="1">
        <f t="array" ref="M1173">_xlfn.IFS(L1173="Retirement","Voluntary",L1173="Resignation","Voluntary",L1173="Layoff","InVoluntary")</f>
        <v>Voluntary</v>
      </c>
      <c r="N1173" s="4" t="s">
        <v>26</v>
      </c>
      <c r="O1173" s="41"/>
      <c r="P1173">
        <v>1</v>
      </c>
      <c r="Q1173" t="s">
        <v>173</v>
      </c>
    </row>
    <row r="1174" spans="1:17" x14ac:dyDescent="0.35">
      <c r="A1174" s="4">
        <v>6693</v>
      </c>
      <c r="B1174" s="5">
        <v>33306</v>
      </c>
      <c r="C1174" s="5">
        <v>43960</v>
      </c>
      <c r="D1174" s="4">
        <v>29</v>
      </c>
      <c r="E1174" s="6" t="str" cm="1">
        <f t="array" ref="E1174">_xlfn.IFS(D1174&lt;=5,"Newcomer",AND(D1174&gt;=6,D1174&lt;=10),"Proficient",D1174&gt;10,"Expert")</f>
        <v>Expert</v>
      </c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 t="str" cm="1">
        <f t="array" ref="M1174">_xlfn.IFS(L1174="Retirement","Voluntary",L1174="Resignation","Voluntary",L1174="Layoff","InVoluntary")</f>
        <v>Voluntary</v>
      </c>
      <c r="N1174" s="4" t="s">
        <v>26</v>
      </c>
      <c r="O1174" s="41"/>
      <c r="P1174">
        <v>1</v>
      </c>
      <c r="Q1174" t="s">
        <v>173</v>
      </c>
    </row>
    <row r="1175" spans="1:17" x14ac:dyDescent="0.35">
      <c r="A1175" s="4">
        <v>6694</v>
      </c>
      <c r="B1175" s="5">
        <v>36157</v>
      </c>
      <c r="C1175" s="5">
        <v>44111</v>
      </c>
      <c r="D1175" s="4">
        <v>22</v>
      </c>
      <c r="E1175" s="6" t="str" cm="1">
        <f t="array" ref="E1175">_xlfn.IFS(D1175&lt;=5,"Newcomer",AND(D1175&gt;=6,D1175&lt;=10),"Proficient",D1175&gt;10,"Expert")</f>
        <v>Expert</v>
      </c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 t="str" cm="1">
        <f t="array" ref="M1175">_xlfn.IFS(L1175="Retirement","Voluntary",L1175="Resignation","Voluntary",L1175="Layoff","InVoluntary")</f>
        <v>Voluntary</v>
      </c>
      <c r="N1175" s="4" t="s">
        <v>26</v>
      </c>
      <c r="O1175" s="41"/>
      <c r="P1175">
        <v>1</v>
      </c>
      <c r="Q1175" t="s">
        <v>173</v>
      </c>
    </row>
    <row r="1176" spans="1:17" x14ac:dyDescent="0.35">
      <c r="A1176" s="4">
        <v>6696</v>
      </c>
      <c r="B1176" s="5">
        <v>40064</v>
      </c>
      <c r="C1176" s="5">
        <v>43841</v>
      </c>
      <c r="D1176" s="4">
        <v>11</v>
      </c>
      <c r="E1176" s="6" t="str" cm="1">
        <f t="array" ref="E1176">_xlfn.IFS(D1176&lt;=5,"Newcomer",AND(D1176&gt;=6,D1176&lt;=10),"Proficient",D1176&gt;10,"Expert")</f>
        <v>Expert</v>
      </c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 t="str" cm="1">
        <f t="array" ref="M1176">_xlfn.IFS(L1176="Retirement","Voluntary",L1176="Resignation","Voluntary",L1176="Layoff","InVoluntary")</f>
        <v>Voluntary</v>
      </c>
      <c r="N1176" s="4" t="s">
        <v>26</v>
      </c>
      <c r="O1176" s="41"/>
      <c r="P1176">
        <v>1</v>
      </c>
      <c r="Q1176" t="s">
        <v>173</v>
      </c>
    </row>
    <row r="1177" spans="1:17" x14ac:dyDescent="0.35">
      <c r="A1177" s="4">
        <v>6700</v>
      </c>
      <c r="B1177" s="5">
        <v>34957</v>
      </c>
      <c r="C1177" s="5">
        <v>44041</v>
      </c>
      <c r="D1177" s="4">
        <v>25</v>
      </c>
      <c r="E1177" s="6" t="str" cm="1">
        <f t="array" ref="E1177">_xlfn.IFS(D1177&lt;=5,"Newcomer",AND(D1177&gt;=6,D1177&lt;=10),"Proficient",D1177&gt;10,"Expert")</f>
        <v>Expert</v>
      </c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 t="str" cm="1">
        <f t="array" ref="M1177">_xlfn.IFS(L1177="Retirement","Voluntary",L1177="Resignation","Voluntary",L1177="Layoff","InVoluntary")</f>
        <v>Voluntary</v>
      </c>
      <c r="N1177" s="4" t="s">
        <v>26</v>
      </c>
      <c r="O1177" s="41"/>
      <c r="P1177">
        <v>1</v>
      </c>
      <c r="Q1177" t="s">
        <v>173</v>
      </c>
    </row>
    <row r="1178" spans="1:17" x14ac:dyDescent="0.35">
      <c r="A1178" s="4">
        <v>6702</v>
      </c>
      <c r="B1178" s="5">
        <v>37162</v>
      </c>
      <c r="C1178" s="5">
        <v>44128</v>
      </c>
      <c r="D1178" s="4">
        <v>19</v>
      </c>
      <c r="E1178" s="6" t="str" cm="1">
        <f t="array" ref="E1178">_xlfn.IFS(D1178&lt;=5,"Newcomer",AND(D1178&gt;=6,D1178&lt;=10),"Proficient",D1178&gt;10,"Expert")</f>
        <v>Expert</v>
      </c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 t="str" cm="1">
        <f t="array" ref="M1178">_xlfn.IFS(L1178="Retirement","Voluntary",L1178="Resignation","Voluntary",L1178="Layoff","InVoluntary")</f>
        <v>InVoluntary</v>
      </c>
      <c r="N1178" s="4" t="s">
        <v>26</v>
      </c>
      <c r="O1178" s="41"/>
      <c r="P1178">
        <v>1</v>
      </c>
      <c r="Q1178" t="s">
        <v>174</v>
      </c>
    </row>
    <row r="1179" spans="1:17" x14ac:dyDescent="0.35">
      <c r="A1179" s="4">
        <v>6703</v>
      </c>
      <c r="B1179" s="5">
        <v>35398</v>
      </c>
      <c r="C1179" s="5">
        <v>44070</v>
      </c>
      <c r="D1179" s="4">
        <v>24</v>
      </c>
      <c r="E1179" s="6" t="str" cm="1">
        <f t="array" ref="E1179">_xlfn.IFS(D1179&lt;=5,"Newcomer",AND(D1179&gt;=6,D1179&lt;=10),"Proficient",D1179&gt;10,"Expert")</f>
        <v>Expert</v>
      </c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 t="str" cm="1">
        <f t="array" ref="M1179">_xlfn.IFS(L1179="Retirement","Voluntary",L1179="Resignation","Voluntary",L1179="Layoff","InVoluntary")</f>
        <v>Voluntary</v>
      </c>
      <c r="N1179" s="4" t="s">
        <v>26</v>
      </c>
      <c r="O1179" s="41"/>
      <c r="P1179">
        <v>1</v>
      </c>
      <c r="Q1179" t="s">
        <v>173</v>
      </c>
    </row>
    <row r="1180" spans="1:17" x14ac:dyDescent="0.35">
      <c r="A1180" s="4">
        <v>6704</v>
      </c>
      <c r="B1180" s="5">
        <v>36960</v>
      </c>
      <c r="C1180" s="5">
        <v>44177</v>
      </c>
      <c r="D1180" s="4">
        <v>19</v>
      </c>
      <c r="E1180" s="6" t="str" cm="1">
        <f t="array" ref="E1180">_xlfn.IFS(D1180&lt;=5,"Newcomer",AND(D1180&gt;=6,D1180&lt;=10),"Proficient",D1180&gt;10,"Expert")</f>
        <v>Expert</v>
      </c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 t="str" cm="1">
        <f t="array" ref="M1180">_xlfn.IFS(L1180="Retirement","Voluntary",L1180="Resignation","Voluntary",L1180="Layoff","InVoluntary")</f>
        <v>Voluntary</v>
      </c>
      <c r="N1180" s="4" t="s">
        <v>26</v>
      </c>
      <c r="O1180" s="41"/>
      <c r="P1180">
        <v>1</v>
      </c>
      <c r="Q1180" t="s">
        <v>173</v>
      </c>
    </row>
    <row r="1181" spans="1:17" x14ac:dyDescent="0.35">
      <c r="A1181" s="4">
        <v>6709</v>
      </c>
      <c r="B1181" s="5">
        <v>34013</v>
      </c>
      <c r="C1181" s="5">
        <v>44066</v>
      </c>
      <c r="D1181" s="4">
        <v>27</v>
      </c>
      <c r="E1181" s="6" t="str" cm="1">
        <f t="array" ref="E1181">_xlfn.IFS(D1181&lt;=5,"Newcomer",AND(D1181&gt;=6,D1181&lt;=10),"Proficient",D1181&gt;10,"Expert")</f>
        <v>Expert</v>
      </c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 t="str" cm="1">
        <f t="array" ref="M1181">_xlfn.IFS(L1181="Retirement","Voluntary",L1181="Resignation","Voluntary",L1181="Layoff","InVoluntary")</f>
        <v>Voluntary</v>
      </c>
      <c r="N1181" s="4" t="s">
        <v>26</v>
      </c>
      <c r="O1181" s="41"/>
      <c r="P1181">
        <v>1</v>
      </c>
      <c r="Q1181" t="s">
        <v>173</v>
      </c>
    </row>
    <row r="1182" spans="1:17" x14ac:dyDescent="0.35">
      <c r="A1182" s="4">
        <v>6710</v>
      </c>
      <c r="B1182" s="5">
        <v>35406</v>
      </c>
      <c r="C1182" s="5">
        <v>43950</v>
      </c>
      <c r="D1182" s="4">
        <v>24</v>
      </c>
      <c r="E1182" s="6" t="str" cm="1">
        <f t="array" ref="E1182">_xlfn.IFS(D1182&lt;=5,"Newcomer",AND(D1182&gt;=6,D1182&lt;=10),"Proficient",D1182&gt;10,"Expert")</f>
        <v>Expert</v>
      </c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 t="str" cm="1">
        <f t="array" ref="M1182">_xlfn.IFS(L1182="Retirement","Voluntary",L1182="Resignation","Voluntary",L1182="Layoff","InVoluntary")</f>
        <v>InVoluntary</v>
      </c>
      <c r="N1182" s="4" t="s">
        <v>26</v>
      </c>
      <c r="O1182" s="41"/>
      <c r="P1182">
        <v>1</v>
      </c>
      <c r="Q1182" t="s">
        <v>174</v>
      </c>
    </row>
    <row r="1183" spans="1:17" x14ac:dyDescent="0.35">
      <c r="A1183" s="4">
        <v>6711</v>
      </c>
      <c r="B1183" s="5">
        <v>36654</v>
      </c>
      <c r="C1183" s="5">
        <v>44165</v>
      </c>
      <c r="D1183" s="4">
        <v>20</v>
      </c>
      <c r="E1183" s="6" t="str" cm="1">
        <f t="array" ref="E1183">_xlfn.IFS(D1183&lt;=5,"Newcomer",AND(D1183&gt;=6,D1183&lt;=10),"Proficient",D1183&gt;10,"Expert")</f>
        <v>Expert</v>
      </c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 t="str" cm="1">
        <f t="array" ref="M1183">_xlfn.IFS(L1183="Retirement","Voluntary",L1183="Resignation","Voluntary",L1183="Layoff","InVoluntary")</f>
        <v>Voluntary</v>
      </c>
      <c r="N1183" s="4" t="s">
        <v>26</v>
      </c>
      <c r="O1183" s="41"/>
      <c r="P1183">
        <v>1</v>
      </c>
      <c r="Q1183" t="s">
        <v>173</v>
      </c>
    </row>
    <row r="1184" spans="1:17" x14ac:dyDescent="0.35">
      <c r="A1184" s="4">
        <v>6712</v>
      </c>
      <c r="B1184" s="5">
        <v>37105</v>
      </c>
      <c r="C1184" s="5">
        <v>43892</v>
      </c>
      <c r="D1184" s="4">
        <v>19</v>
      </c>
      <c r="E1184" s="6" t="str" cm="1">
        <f t="array" ref="E1184">_xlfn.IFS(D1184&lt;=5,"Newcomer",AND(D1184&gt;=6,D1184&lt;=10),"Proficient",D1184&gt;10,"Expert")</f>
        <v>Expert</v>
      </c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 t="str" cm="1">
        <f t="array" ref="M1184">_xlfn.IFS(L1184="Retirement","Voluntary",L1184="Resignation","Voluntary",L1184="Layoff","InVoluntary")</f>
        <v>Voluntary</v>
      </c>
      <c r="N1184" s="4" t="s">
        <v>26</v>
      </c>
      <c r="O1184" s="41"/>
      <c r="P1184">
        <v>1</v>
      </c>
      <c r="Q1184" t="s">
        <v>173</v>
      </c>
    </row>
    <row r="1185" spans="1:17" x14ac:dyDescent="0.35">
      <c r="A1185" s="4">
        <v>6713</v>
      </c>
      <c r="B1185" s="5">
        <v>35009</v>
      </c>
      <c r="C1185" s="5">
        <v>43854</v>
      </c>
      <c r="D1185" s="4">
        <v>25</v>
      </c>
      <c r="E1185" s="6" t="str" cm="1">
        <f t="array" ref="E1185">_xlfn.IFS(D1185&lt;=5,"Newcomer",AND(D1185&gt;=6,D1185&lt;=10),"Proficient",D1185&gt;10,"Expert")</f>
        <v>Expert</v>
      </c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 t="str" cm="1">
        <f t="array" ref="M1185">_xlfn.IFS(L1185="Retirement","Voluntary",L1185="Resignation","Voluntary",L1185="Layoff","InVoluntary")</f>
        <v>Voluntary</v>
      </c>
      <c r="N1185" s="4" t="s">
        <v>26</v>
      </c>
      <c r="O1185" s="41"/>
      <c r="P1185">
        <v>1</v>
      </c>
      <c r="Q1185" t="s">
        <v>173</v>
      </c>
    </row>
    <row r="1186" spans="1:17" x14ac:dyDescent="0.35">
      <c r="A1186" s="4">
        <v>6714</v>
      </c>
      <c r="B1186" s="5">
        <v>35822</v>
      </c>
      <c r="C1186" s="5">
        <v>43959</v>
      </c>
      <c r="D1186" s="4">
        <v>22</v>
      </c>
      <c r="E1186" s="6" t="str" cm="1">
        <f t="array" ref="E1186">_xlfn.IFS(D1186&lt;=5,"Newcomer",AND(D1186&gt;=6,D1186&lt;=10),"Proficient",D1186&gt;10,"Expert")</f>
        <v>Expert</v>
      </c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 t="str" cm="1">
        <f t="array" ref="M1186">_xlfn.IFS(L1186="Retirement","Voluntary",L1186="Resignation","Voluntary",L1186="Layoff","InVoluntary")</f>
        <v>Voluntary</v>
      </c>
      <c r="N1186" s="4" t="s">
        <v>26</v>
      </c>
      <c r="O1186" s="41"/>
      <c r="P1186">
        <v>1</v>
      </c>
      <c r="Q1186" t="s">
        <v>173</v>
      </c>
    </row>
    <row r="1187" spans="1:17" x14ac:dyDescent="0.35">
      <c r="A1187" s="4">
        <v>6715</v>
      </c>
      <c r="B1187" s="5">
        <v>42223</v>
      </c>
      <c r="C1187" s="5">
        <v>44163</v>
      </c>
      <c r="D1187" s="4">
        <v>5</v>
      </c>
      <c r="E1187" s="6" t="str" cm="1">
        <f t="array" ref="E1187">_xlfn.IFS(D1187&lt;=5,"Newcomer",AND(D1187&gt;=6,D1187&lt;=10),"Proficient",D1187&gt;10,"Expert")</f>
        <v>Newcomer</v>
      </c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 t="str" cm="1">
        <f t="array" ref="M1187">_xlfn.IFS(L1187="Retirement","Voluntary",L1187="Resignation","Voluntary",L1187="Layoff","InVoluntary")</f>
        <v>Voluntary</v>
      </c>
      <c r="N1187" s="4" t="s">
        <v>26</v>
      </c>
      <c r="O1187" s="41"/>
      <c r="P1187">
        <v>1</v>
      </c>
      <c r="Q1187" t="s">
        <v>173</v>
      </c>
    </row>
    <row r="1188" spans="1:17" x14ac:dyDescent="0.35">
      <c r="A1188" s="4">
        <v>6717</v>
      </c>
      <c r="B1188" s="5">
        <v>34586</v>
      </c>
      <c r="C1188" s="5">
        <v>44004</v>
      </c>
      <c r="D1188" s="4">
        <v>26</v>
      </c>
      <c r="E1188" s="6" t="str" cm="1">
        <f t="array" ref="E1188">_xlfn.IFS(D1188&lt;=5,"Newcomer",AND(D1188&gt;=6,D1188&lt;=10),"Proficient",D1188&gt;10,"Expert")</f>
        <v>Expert</v>
      </c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 t="str" cm="1">
        <f t="array" ref="M1188">_xlfn.IFS(L1188="Retirement","Voluntary",L1188="Resignation","Voluntary",L1188="Layoff","InVoluntary")</f>
        <v>Voluntary</v>
      </c>
      <c r="N1188" s="4" t="s">
        <v>26</v>
      </c>
      <c r="O1188" s="41"/>
      <c r="P1188">
        <v>1</v>
      </c>
      <c r="Q1188" t="s">
        <v>173</v>
      </c>
    </row>
    <row r="1189" spans="1:17" x14ac:dyDescent="0.35">
      <c r="A1189" s="4">
        <v>6740</v>
      </c>
      <c r="B1189" s="5">
        <v>36874</v>
      </c>
      <c r="C1189" s="5">
        <v>43920</v>
      </c>
      <c r="D1189" s="4">
        <v>20</v>
      </c>
      <c r="E1189" s="6" t="str" cm="1">
        <f t="array" ref="E1189">_xlfn.IFS(D1189&lt;=5,"Newcomer",AND(D1189&gt;=6,D1189&lt;=10),"Proficient",D1189&gt;10,"Expert")</f>
        <v>Expert</v>
      </c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 t="str" cm="1">
        <f t="array" ref="M1189">_xlfn.IFS(L1189="Retirement","Voluntary",L1189="Resignation","Voluntary",L1189="Layoff","InVoluntary")</f>
        <v>InVoluntary</v>
      </c>
      <c r="N1189" s="4" t="s">
        <v>26</v>
      </c>
      <c r="O1189" s="41"/>
      <c r="P1189">
        <v>1</v>
      </c>
      <c r="Q1189" t="s">
        <v>174</v>
      </c>
    </row>
    <row r="1190" spans="1:17" x14ac:dyDescent="0.35">
      <c r="A1190" s="4">
        <v>6741</v>
      </c>
      <c r="B1190" s="5">
        <v>35776</v>
      </c>
      <c r="C1190" s="5">
        <v>43847</v>
      </c>
      <c r="D1190" s="4">
        <v>23</v>
      </c>
      <c r="E1190" s="6" t="str" cm="1">
        <f t="array" ref="E1190">_xlfn.IFS(D1190&lt;=5,"Newcomer",AND(D1190&gt;=6,D1190&lt;=10),"Proficient",D1190&gt;10,"Expert")</f>
        <v>Expert</v>
      </c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 t="str" cm="1">
        <f t="array" ref="M1190">_xlfn.IFS(L1190="Retirement","Voluntary",L1190="Resignation","Voluntary",L1190="Layoff","InVoluntary")</f>
        <v>InVoluntary</v>
      </c>
      <c r="N1190" s="4" t="s">
        <v>26</v>
      </c>
      <c r="O1190" s="41"/>
      <c r="P1190">
        <v>1</v>
      </c>
      <c r="Q1190" t="s">
        <v>174</v>
      </c>
    </row>
    <row r="1191" spans="1:17" x14ac:dyDescent="0.35">
      <c r="A1191" s="4">
        <v>6747</v>
      </c>
      <c r="B1191" s="5">
        <v>36961</v>
      </c>
      <c r="C1191" s="5">
        <v>44195</v>
      </c>
      <c r="D1191" s="4">
        <v>19</v>
      </c>
      <c r="E1191" s="6" t="str" cm="1">
        <f t="array" ref="E1191">_xlfn.IFS(D1191&lt;=5,"Newcomer",AND(D1191&gt;=6,D1191&lt;=10),"Proficient",D1191&gt;10,"Expert")</f>
        <v>Expert</v>
      </c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 t="str" cm="1">
        <f t="array" ref="M1191">_xlfn.IFS(L1191="Retirement","Voluntary",L1191="Resignation","Voluntary",L1191="Layoff","InVoluntary")</f>
        <v>Voluntary</v>
      </c>
      <c r="N1191" s="4" t="s">
        <v>26</v>
      </c>
      <c r="O1191" s="41"/>
      <c r="P1191">
        <v>1</v>
      </c>
      <c r="Q1191" t="s">
        <v>173</v>
      </c>
    </row>
    <row r="1192" spans="1:17" x14ac:dyDescent="0.35">
      <c r="A1192" s="4">
        <v>6755</v>
      </c>
      <c r="B1192" s="5">
        <v>35926</v>
      </c>
      <c r="C1192" s="5">
        <v>43984</v>
      </c>
      <c r="D1192" s="4">
        <v>22</v>
      </c>
      <c r="E1192" s="6" t="str" cm="1">
        <f t="array" ref="E1192">_xlfn.IFS(D1192&lt;=5,"Newcomer",AND(D1192&gt;=6,D1192&lt;=10),"Proficient",D1192&gt;10,"Expert")</f>
        <v>Expert</v>
      </c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 t="str" cm="1">
        <f t="array" ref="M1192">_xlfn.IFS(L1192="Retirement","Voluntary",L1192="Resignation","Voluntary",L1192="Layoff","InVoluntary")</f>
        <v>Voluntary</v>
      </c>
      <c r="N1192" s="4" t="s">
        <v>26</v>
      </c>
      <c r="O1192" s="41"/>
      <c r="P1192">
        <v>1</v>
      </c>
      <c r="Q1192" t="s">
        <v>173</v>
      </c>
    </row>
    <row r="1193" spans="1:17" x14ac:dyDescent="0.35">
      <c r="A1193" s="4">
        <v>6763</v>
      </c>
      <c r="B1193" s="5">
        <v>33184</v>
      </c>
      <c r="C1193" s="5">
        <v>44068</v>
      </c>
      <c r="D1193" s="4">
        <v>30</v>
      </c>
      <c r="E1193" s="6" t="str" cm="1">
        <f t="array" ref="E1193">_xlfn.IFS(D1193&lt;=5,"Newcomer",AND(D1193&gt;=6,D1193&lt;=10),"Proficient",D1193&gt;10,"Expert")</f>
        <v>Expert</v>
      </c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 t="str" cm="1">
        <f t="array" ref="M1193">_xlfn.IFS(L1193="Retirement","Voluntary",L1193="Resignation","Voluntary",L1193="Layoff","InVoluntary")</f>
        <v>InVoluntary</v>
      </c>
      <c r="N1193" s="4" t="s">
        <v>26</v>
      </c>
      <c r="O1193" s="41"/>
      <c r="P1193">
        <v>1</v>
      </c>
      <c r="Q1193" t="s">
        <v>174</v>
      </c>
    </row>
    <row r="1194" spans="1:17" x14ac:dyDescent="0.35">
      <c r="A1194" s="4">
        <v>6773</v>
      </c>
      <c r="B1194" s="5">
        <v>39541</v>
      </c>
      <c r="C1194" s="5">
        <v>43891</v>
      </c>
      <c r="D1194" s="4">
        <v>12</v>
      </c>
      <c r="E1194" s="6" t="str" cm="1">
        <f t="array" ref="E1194">_xlfn.IFS(D1194&lt;=5,"Newcomer",AND(D1194&gt;=6,D1194&lt;=10),"Proficient",D1194&gt;10,"Expert")</f>
        <v>Expert</v>
      </c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 t="str" cm="1">
        <f t="array" ref="M1194">_xlfn.IFS(L1194="Retirement","Voluntary",L1194="Resignation","Voluntary",L1194="Layoff","InVoluntary")</f>
        <v>Voluntary</v>
      </c>
      <c r="N1194" s="4" t="s">
        <v>26</v>
      </c>
      <c r="O1194" s="41"/>
      <c r="P1194">
        <v>1</v>
      </c>
      <c r="Q1194" t="s">
        <v>173</v>
      </c>
    </row>
    <row r="1195" spans="1:17" x14ac:dyDescent="0.35">
      <c r="A1195" s="4">
        <v>6774</v>
      </c>
      <c r="B1195" s="5">
        <v>38589</v>
      </c>
      <c r="C1195" s="5">
        <v>43851</v>
      </c>
      <c r="D1195" s="4">
        <v>15</v>
      </c>
      <c r="E1195" s="6" t="str" cm="1">
        <f t="array" ref="E1195">_xlfn.IFS(D1195&lt;=5,"Newcomer",AND(D1195&gt;=6,D1195&lt;=10),"Proficient",D1195&gt;10,"Expert")</f>
        <v>Expert</v>
      </c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 t="str" cm="1">
        <f t="array" ref="M1195">_xlfn.IFS(L1195="Retirement","Voluntary",L1195="Resignation","Voluntary",L1195="Layoff","InVoluntary")</f>
        <v>Voluntary</v>
      </c>
      <c r="N1195" s="4" t="s">
        <v>26</v>
      </c>
      <c r="O1195" s="41"/>
      <c r="P1195">
        <v>1</v>
      </c>
      <c r="Q1195" t="s">
        <v>173</v>
      </c>
    </row>
    <row r="1196" spans="1:17" x14ac:dyDescent="0.35">
      <c r="A1196" s="4">
        <v>6781</v>
      </c>
      <c r="B1196" s="5">
        <v>38537</v>
      </c>
      <c r="C1196" s="5">
        <v>44091</v>
      </c>
      <c r="D1196" s="4">
        <v>15</v>
      </c>
      <c r="E1196" s="6" t="str" cm="1">
        <f t="array" ref="E1196">_xlfn.IFS(D1196&lt;=5,"Newcomer",AND(D1196&gt;=6,D1196&lt;=10),"Proficient",D1196&gt;10,"Expert")</f>
        <v>Expert</v>
      </c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 t="str" cm="1">
        <f t="array" ref="M1196">_xlfn.IFS(L1196="Retirement","Voluntary",L1196="Resignation","Voluntary",L1196="Layoff","InVoluntary")</f>
        <v>InVoluntary</v>
      </c>
      <c r="N1196" s="4" t="s">
        <v>26</v>
      </c>
      <c r="O1196" s="41"/>
      <c r="P1196">
        <v>1</v>
      </c>
      <c r="Q1196" t="s">
        <v>174</v>
      </c>
    </row>
    <row r="1197" spans="1:17" x14ac:dyDescent="0.35">
      <c r="A1197" s="4">
        <v>6784</v>
      </c>
      <c r="B1197" s="5">
        <v>33286</v>
      </c>
      <c r="C1197" s="5">
        <v>43974</v>
      </c>
      <c r="D1197" s="4">
        <v>29</v>
      </c>
      <c r="E1197" s="6" t="str" cm="1">
        <f t="array" ref="E1197">_xlfn.IFS(D1197&lt;=5,"Newcomer",AND(D1197&gt;=6,D1197&lt;=10),"Proficient",D1197&gt;10,"Expert")</f>
        <v>Expert</v>
      </c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 t="str" cm="1">
        <f t="array" ref="M1197">_xlfn.IFS(L1197="Retirement","Voluntary",L1197="Resignation","Voluntary",L1197="Layoff","InVoluntary")</f>
        <v>InVoluntary</v>
      </c>
      <c r="N1197" s="4" t="s">
        <v>26</v>
      </c>
      <c r="O1197" s="41"/>
      <c r="P1197">
        <v>1</v>
      </c>
      <c r="Q1197" t="s">
        <v>174</v>
      </c>
    </row>
    <row r="1198" spans="1:17" x14ac:dyDescent="0.35">
      <c r="A1198" s="4">
        <v>6789</v>
      </c>
      <c r="B1198" s="5">
        <v>36152</v>
      </c>
      <c r="C1198" s="5">
        <v>43889</v>
      </c>
      <c r="D1198" s="4">
        <v>22</v>
      </c>
      <c r="E1198" s="6" t="str" cm="1">
        <f t="array" ref="E1198">_xlfn.IFS(D1198&lt;=5,"Newcomer",AND(D1198&gt;=6,D1198&lt;=10),"Proficient",D1198&gt;10,"Expert")</f>
        <v>Expert</v>
      </c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 t="str" cm="1">
        <f t="array" ref="M1198">_xlfn.IFS(L1198="Retirement","Voluntary",L1198="Resignation","Voluntary",L1198="Layoff","InVoluntary")</f>
        <v>Voluntary</v>
      </c>
      <c r="N1198" s="4" t="s">
        <v>26</v>
      </c>
      <c r="O1198" s="41"/>
      <c r="P1198">
        <v>1</v>
      </c>
      <c r="Q1198" t="s">
        <v>173</v>
      </c>
    </row>
    <row r="1199" spans="1:17" x14ac:dyDescent="0.35">
      <c r="A1199" s="4">
        <v>6790</v>
      </c>
      <c r="B1199" s="5">
        <v>37443</v>
      </c>
      <c r="C1199" s="5">
        <v>44061</v>
      </c>
      <c r="D1199" s="4">
        <v>18</v>
      </c>
      <c r="E1199" s="6" t="str" cm="1">
        <f t="array" ref="E1199">_xlfn.IFS(D1199&lt;=5,"Newcomer",AND(D1199&gt;=6,D1199&lt;=10),"Proficient",D1199&gt;10,"Expert")</f>
        <v>Expert</v>
      </c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 t="str" cm="1">
        <f t="array" ref="M1199">_xlfn.IFS(L1199="Retirement","Voluntary",L1199="Resignation","Voluntary",L1199="Layoff","InVoluntary")</f>
        <v>Voluntary</v>
      </c>
      <c r="N1199" s="4" t="s">
        <v>26</v>
      </c>
      <c r="O1199" s="41"/>
      <c r="P1199">
        <v>1</v>
      </c>
      <c r="Q1199" t="s">
        <v>173</v>
      </c>
    </row>
    <row r="1200" spans="1:17" x14ac:dyDescent="0.35">
      <c r="A1200" s="4">
        <v>6804</v>
      </c>
      <c r="B1200" s="5">
        <v>40670</v>
      </c>
      <c r="C1200" s="5">
        <v>44096</v>
      </c>
      <c r="D1200" s="4">
        <v>9</v>
      </c>
      <c r="E1200" s="6" t="str" cm="1">
        <f t="array" ref="E1200">_xlfn.IFS(D1200&lt;=5,"Newcomer",AND(D1200&gt;=6,D1200&lt;=10),"Proficient",D1200&gt;10,"Expert")</f>
        <v>Proficient</v>
      </c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 t="str" cm="1">
        <f t="array" ref="M1200">_xlfn.IFS(L1200="Retirement","Voluntary",L1200="Resignation","Voluntary",L1200="Layoff","InVoluntary")</f>
        <v>Voluntary</v>
      </c>
      <c r="N1200" s="4" t="s">
        <v>26</v>
      </c>
      <c r="O1200" s="41"/>
      <c r="P1200">
        <v>1</v>
      </c>
      <c r="Q1200" t="s">
        <v>173</v>
      </c>
    </row>
    <row r="1201" spans="1:17" x14ac:dyDescent="0.35">
      <c r="A1201" s="4">
        <v>6807</v>
      </c>
      <c r="B1201" s="5">
        <v>37979</v>
      </c>
      <c r="C1201" s="5">
        <v>44008</v>
      </c>
      <c r="D1201" s="4">
        <v>17</v>
      </c>
      <c r="E1201" s="6" t="str" cm="1">
        <f t="array" ref="E1201">_xlfn.IFS(D1201&lt;=5,"Newcomer",AND(D1201&gt;=6,D1201&lt;=10),"Proficient",D1201&gt;10,"Expert")</f>
        <v>Expert</v>
      </c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 t="str" cm="1">
        <f t="array" ref="M1201">_xlfn.IFS(L1201="Retirement","Voluntary",L1201="Resignation","Voluntary",L1201="Layoff","InVoluntary")</f>
        <v>Voluntary</v>
      </c>
      <c r="N1201" s="4" t="s">
        <v>26</v>
      </c>
      <c r="O1201" s="41"/>
      <c r="P1201">
        <v>1</v>
      </c>
      <c r="Q1201" t="s">
        <v>173</v>
      </c>
    </row>
    <row r="1202" spans="1:17" x14ac:dyDescent="0.35">
      <c r="A1202" s="4">
        <v>6810</v>
      </c>
      <c r="B1202" s="5">
        <v>35653</v>
      </c>
      <c r="C1202" s="5">
        <v>43879</v>
      </c>
      <c r="D1202" s="4">
        <v>23</v>
      </c>
      <c r="E1202" s="6" t="str" cm="1">
        <f t="array" ref="E1202">_xlfn.IFS(D1202&lt;=5,"Newcomer",AND(D1202&gt;=6,D1202&lt;=10),"Proficient",D1202&gt;10,"Expert")</f>
        <v>Expert</v>
      </c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 t="str" cm="1">
        <f t="array" ref="M1202">_xlfn.IFS(L1202="Retirement","Voluntary",L1202="Resignation","Voluntary",L1202="Layoff","InVoluntary")</f>
        <v>Voluntary</v>
      </c>
      <c r="N1202" s="4" t="s">
        <v>26</v>
      </c>
      <c r="O1202" s="41"/>
      <c r="P1202">
        <v>1</v>
      </c>
      <c r="Q1202" t="s">
        <v>173</v>
      </c>
    </row>
    <row r="1203" spans="1:17" x14ac:dyDescent="0.35">
      <c r="A1203" s="4">
        <v>6826</v>
      </c>
      <c r="B1203" s="5">
        <v>41139</v>
      </c>
      <c r="C1203" s="5">
        <v>44145</v>
      </c>
      <c r="D1203" s="4">
        <v>8</v>
      </c>
      <c r="E1203" s="6" t="str" cm="1">
        <f t="array" ref="E1203">_xlfn.IFS(D1203&lt;=5,"Newcomer",AND(D1203&gt;=6,D1203&lt;=10),"Proficient",D1203&gt;10,"Expert")</f>
        <v>Proficient</v>
      </c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 t="str" cm="1">
        <f t="array" ref="M1203">_xlfn.IFS(L1203="Retirement","Voluntary",L1203="Resignation","Voluntary",L1203="Layoff","InVoluntary")</f>
        <v>Voluntary</v>
      </c>
      <c r="N1203" s="4" t="s">
        <v>26</v>
      </c>
      <c r="O1203" s="41"/>
      <c r="P1203">
        <v>1</v>
      </c>
      <c r="Q1203" t="s">
        <v>173</v>
      </c>
    </row>
    <row r="1204" spans="1:17" x14ac:dyDescent="0.35">
      <c r="A1204" s="4">
        <v>6828</v>
      </c>
      <c r="B1204" s="5">
        <v>35922</v>
      </c>
      <c r="C1204" s="5">
        <v>43956</v>
      </c>
      <c r="D1204" s="4">
        <v>22</v>
      </c>
      <c r="E1204" s="6" t="str" cm="1">
        <f t="array" ref="E1204">_xlfn.IFS(D1204&lt;=5,"Newcomer",AND(D1204&gt;=6,D1204&lt;=10),"Proficient",D1204&gt;10,"Expert")</f>
        <v>Expert</v>
      </c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 t="str" cm="1">
        <f t="array" ref="M1204">_xlfn.IFS(L1204="Retirement","Voluntary",L1204="Resignation","Voluntary",L1204="Layoff","InVoluntary")</f>
        <v>Voluntary</v>
      </c>
      <c r="N1204" s="4" t="s">
        <v>26</v>
      </c>
      <c r="O1204" s="41"/>
      <c r="P1204">
        <v>1</v>
      </c>
      <c r="Q1204" t="s">
        <v>173</v>
      </c>
    </row>
    <row r="1205" spans="1:17" x14ac:dyDescent="0.35">
      <c r="A1205" s="4">
        <v>6829</v>
      </c>
      <c r="B1205" s="5">
        <v>38112</v>
      </c>
      <c r="C1205" s="5">
        <v>44022</v>
      </c>
      <c r="D1205" s="4">
        <v>16</v>
      </c>
      <c r="E1205" s="6" t="str" cm="1">
        <f t="array" ref="E1205">_xlfn.IFS(D1205&lt;=5,"Newcomer",AND(D1205&gt;=6,D1205&lt;=10),"Proficient",D1205&gt;10,"Expert")</f>
        <v>Expert</v>
      </c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 t="str" cm="1">
        <f t="array" ref="M1205">_xlfn.IFS(L1205="Retirement","Voluntary",L1205="Resignation","Voluntary",L1205="Layoff","InVoluntary")</f>
        <v>Voluntary</v>
      </c>
      <c r="N1205" s="4" t="s">
        <v>26</v>
      </c>
      <c r="O1205" s="41"/>
      <c r="P1205">
        <v>1</v>
      </c>
      <c r="Q1205" t="s">
        <v>173</v>
      </c>
    </row>
    <row r="1206" spans="1:17" x14ac:dyDescent="0.35">
      <c r="A1206" s="4">
        <v>6831</v>
      </c>
      <c r="B1206" s="5">
        <v>35254</v>
      </c>
      <c r="C1206" s="5">
        <v>43845</v>
      </c>
      <c r="D1206" s="4">
        <v>24</v>
      </c>
      <c r="E1206" s="6" t="str" cm="1">
        <f t="array" ref="E1206">_xlfn.IFS(D1206&lt;=5,"Newcomer",AND(D1206&gt;=6,D1206&lt;=10),"Proficient",D1206&gt;10,"Expert")</f>
        <v>Expert</v>
      </c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 t="str" cm="1">
        <f t="array" ref="M1206">_xlfn.IFS(L1206="Retirement","Voluntary",L1206="Resignation","Voluntary",L1206="Layoff","InVoluntary")</f>
        <v>Voluntary</v>
      </c>
      <c r="N1206" s="4" t="s">
        <v>26</v>
      </c>
      <c r="O1206" s="41"/>
      <c r="P1206">
        <v>1</v>
      </c>
      <c r="Q1206" t="s">
        <v>173</v>
      </c>
    </row>
    <row r="1207" spans="1:17" x14ac:dyDescent="0.35">
      <c r="A1207" s="4">
        <v>6832</v>
      </c>
      <c r="B1207" s="5">
        <v>39379</v>
      </c>
      <c r="C1207" s="5">
        <v>43999</v>
      </c>
      <c r="D1207" s="4">
        <v>13</v>
      </c>
      <c r="E1207" s="6" t="str" cm="1">
        <f t="array" ref="E1207">_xlfn.IFS(D1207&lt;=5,"Newcomer",AND(D1207&gt;=6,D1207&lt;=10),"Proficient",D1207&gt;10,"Expert")</f>
        <v>Expert</v>
      </c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 t="str" cm="1">
        <f t="array" ref="M1207">_xlfn.IFS(L1207="Retirement","Voluntary",L1207="Resignation","Voluntary",L1207="Layoff","InVoluntary")</f>
        <v>Voluntary</v>
      </c>
      <c r="N1207" s="4" t="s">
        <v>26</v>
      </c>
      <c r="O1207" s="41"/>
      <c r="P1207">
        <v>1</v>
      </c>
      <c r="Q1207" t="s">
        <v>173</v>
      </c>
    </row>
    <row r="1208" spans="1:17" x14ac:dyDescent="0.35">
      <c r="A1208" s="4">
        <v>6833</v>
      </c>
      <c r="B1208" s="5">
        <v>33491</v>
      </c>
      <c r="C1208" s="5">
        <v>43945</v>
      </c>
      <c r="D1208" s="4">
        <v>29</v>
      </c>
      <c r="E1208" s="6" t="str" cm="1">
        <f t="array" ref="E1208">_xlfn.IFS(D1208&lt;=5,"Newcomer",AND(D1208&gt;=6,D1208&lt;=10),"Proficient",D1208&gt;10,"Expert")</f>
        <v>Expert</v>
      </c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 t="str" cm="1">
        <f t="array" ref="M1208">_xlfn.IFS(L1208="Retirement","Voluntary",L1208="Resignation","Voluntary",L1208="Layoff","InVoluntary")</f>
        <v>Voluntary</v>
      </c>
      <c r="N1208" s="4" t="s">
        <v>26</v>
      </c>
      <c r="O1208" s="41"/>
      <c r="P1208">
        <v>1</v>
      </c>
      <c r="Q1208" t="s">
        <v>173</v>
      </c>
    </row>
    <row r="1209" spans="1:17" x14ac:dyDescent="0.35">
      <c r="A1209" s="4">
        <v>6836</v>
      </c>
      <c r="B1209" s="5">
        <v>39766</v>
      </c>
      <c r="C1209" s="5">
        <v>43896</v>
      </c>
      <c r="D1209" s="4">
        <v>12</v>
      </c>
      <c r="E1209" s="6" t="str" cm="1">
        <f t="array" ref="E1209">_xlfn.IFS(D1209&lt;=5,"Newcomer",AND(D1209&gt;=6,D1209&lt;=10),"Proficient",D1209&gt;10,"Expert")</f>
        <v>Expert</v>
      </c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 t="str" cm="1">
        <f t="array" ref="M1209">_xlfn.IFS(L1209="Retirement","Voluntary",L1209="Resignation","Voluntary",L1209="Layoff","InVoluntary")</f>
        <v>Voluntary</v>
      </c>
      <c r="N1209" s="4" t="s">
        <v>26</v>
      </c>
      <c r="O1209" s="41"/>
      <c r="P1209">
        <v>1</v>
      </c>
      <c r="Q1209" t="s">
        <v>173</v>
      </c>
    </row>
    <row r="1210" spans="1:17" x14ac:dyDescent="0.35">
      <c r="A1210" s="4">
        <v>6837</v>
      </c>
      <c r="B1210" s="5">
        <v>34981</v>
      </c>
      <c r="C1210" s="5">
        <v>44038</v>
      </c>
      <c r="D1210" s="4">
        <v>25</v>
      </c>
      <c r="E1210" s="6" t="str" cm="1">
        <f t="array" ref="E1210">_xlfn.IFS(D1210&lt;=5,"Newcomer",AND(D1210&gt;=6,D1210&lt;=10),"Proficient",D1210&gt;10,"Expert")</f>
        <v>Expert</v>
      </c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 t="str" cm="1">
        <f t="array" ref="M1210">_xlfn.IFS(L1210="Retirement","Voluntary",L1210="Resignation","Voluntary",L1210="Layoff","InVoluntary")</f>
        <v>Voluntary</v>
      </c>
      <c r="N1210" s="4" t="s">
        <v>26</v>
      </c>
      <c r="O1210" s="41"/>
      <c r="P1210">
        <v>1</v>
      </c>
      <c r="Q1210" t="s">
        <v>173</v>
      </c>
    </row>
    <row r="1211" spans="1:17" x14ac:dyDescent="0.35">
      <c r="A1211" s="4">
        <v>6838</v>
      </c>
      <c r="B1211" s="5">
        <v>41744</v>
      </c>
      <c r="C1211" s="5">
        <v>44091</v>
      </c>
      <c r="D1211" s="4">
        <v>6</v>
      </c>
      <c r="E1211" s="6" t="str" cm="1">
        <f t="array" ref="E1211">_xlfn.IFS(D1211&lt;=5,"Newcomer",AND(D1211&gt;=6,D1211&lt;=10),"Proficient",D1211&gt;10,"Expert")</f>
        <v>Proficient</v>
      </c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 t="str" cm="1">
        <f t="array" ref="M1211">_xlfn.IFS(L1211="Retirement","Voluntary",L1211="Resignation","Voluntary",L1211="Layoff","InVoluntary")</f>
        <v>Voluntary</v>
      </c>
      <c r="N1211" s="4" t="s">
        <v>26</v>
      </c>
      <c r="O1211" s="41"/>
      <c r="P1211">
        <v>1</v>
      </c>
      <c r="Q1211" t="s">
        <v>173</v>
      </c>
    </row>
    <row r="1212" spans="1:17" x14ac:dyDescent="0.35">
      <c r="A1212" s="4">
        <v>6840</v>
      </c>
      <c r="B1212" s="5">
        <v>41344</v>
      </c>
      <c r="C1212" s="5">
        <v>44047</v>
      </c>
      <c r="D1212" s="4">
        <v>7</v>
      </c>
      <c r="E1212" s="6" t="str" cm="1">
        <f t="array" ref="E1212">_xlfn.IFS(D1212&lt;=5,"Newcomer",AND(D1212&gt;=6,D1212&lt;=10),"Proficient",D1212&gt;10,"Expert")</f>
        <v>Proficient</v>
      </c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 t="str" cm="1">
        <f t="array" ref="M1212">_xlfn.IFS(L1212="Retirement","Voluntary",L1212="Resignation","Voluntary",L1212="Layoff","InVoluntary")</f>
        <v>Voluntary</v>
      </c>
      <c r="N1212" s="4" t="s">
        <v>26</v>
      </c>
      <c r="O1212" s="41"/>
      <c r="P1212">
        <v>1</v>
      </c>
      <c r="Q1212" t="s">
        <v>173</v>
      </c>
    </row>
    <row r="1213" spans="1:17" x14ac:dyDescent="0.35">
      <c r="A1213" s="4">
        <v>6841</v>
      </c>
      <c r="B1213" s="5">
        <v>41271</v>
      </c>
      <c r="C1213" s="5">
        <v>44098</v>
      </c>
      <c r="D1213" s="4">
        <v>8</v>
      </c>
      <c r="E1213" s="6" t="str" cm="1">
        <f t="array" ref="E1213">_xlfn.IFS(D1213&lt;=5,"Newcomer",AND(D1213&gt;=6,D1213&lt;=10),"Proficient",D1213&gt;10,"Expert")</f>
        <v>Proficient</v>
      </c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 t="str" cm="1">
        <f t="array" ref="M1213">_xlfn.IFS(L1213="Retirement","Voluntary",L1213="Resignation","Voluntary",L1213="Layoff","InVoluntary")</f>
        <v>Voluntary</v>
      </c>
      <c r="N1213" s="4" t="s">
        <v>26</v>
      </c>
      <c r="O1213" s="41"/>
      <c r="P1213">
        <v>1</v>
      </c>
      <c r="Q1213" t="s">
        <v>173</v>
      </c>
    </row>
    <row r="1214" spans="1:17" x14ac:dyDescent="0.35">
      <c r="A1214" s="4">
        <v>6863</v>
      </c>
      <c r="B1214" s="5">
        <v>34858</v>
      </c>
      <c r="C1214" s="5">
        <v>43950</v>
      </c>
      <c r="D1214" s="4">
        <v>25</v>
      </c>
      <c r="E1214" s="6" t="str" cm="1">
        <f t="array" ref="E1214">_xlfn.IFS(D1214&lt;=5,"Newcomer",AND(D1214&gt;=6,D1214&lt;=10),"Proficient",D1214&gt;10,"Expert")</f>
        <v>Expert</v>
      </c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 t="str" cm="1">
        <f t="array" ref="M1214">_xlfn.IFS(L1214="Retirement","Voluntary",L1214="Resignation","Voluntary",L1214="Layoff","InVoluntary")</f>
        <v>Voluntary</v>
      </c>
      <c r="N1214" s="4" t="s">
        <v>26</v>
      </c>
      <c r="O1214" s="41"/>
      <c r="P1214">
        <v>1</v>
      </c>
      <c r="Q1214" t="s">
        <v>173</v>
      </c>
    </row>
    <row r="1215" spans="1:17" x14ac:dyDescent="0.35">
      <c r="A1215" s="4">
        <v>6867</v>
      </c>
      <c r="B1215" s="5">
        <v>36436</v>
      </c>
      <c r="C1215" s="5">
        <v>43945</v>
      </c>
      <c r="D1215" s="4">
        <v>21</v>
      </c>
      <c r="E1215" s="6" t="str" cm="1">
        <f t="array" ref="E1215">_xlfn.IFS(D1215&lt;=5,"Newcomer",AND(D1215&gt;=6,D1215&lt;=10),"Proficient",D1215&gt;10,"Expert")</f>
        <v>Expert</v>
      </c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 t="str" cm="1">
        <f t="array" ref="M1215">_xlfn.IFS(L1215="Retirement","Voluntary",L1215="Resignation","Voluntary",L1215="Layoff","InVoluntary")</f>
        <v>Voluntary</v>
      </c>
      <c r="N1215" s="4" t="s">
        <v>26</v>
      </c>
      <c r="O1215" s="41"/>
      <c r="P1215">
        <v>1</v>
      </c>
      <c r="Q1215" t="s">
        <v>173</v>
      </c>
    </row>
    <row r="1216" spans="1:17" x14ac:dyDescent="0.35">
      <c r="A1216" s="4">
        <v>6868</v>
      </c>
      <c r="B1216" s="5">
        <v>42316</v>
      </c>
      <c r="C1216" s="5">
        <v>44053</v>
      </c>
      <c r="D1216" s="4">
        <v>5</v>
      </c>
      <c r="E1216" s="6" t="str" cm="1">
        <f t="array" ref="E1216">_xlfn.IFS(D1216&lt;=5,"Newcomer",AND(D1216&gt;=6,D1216&lt;=10),"Proficient",D1216&gt;10,"Expert")</f>
        <v>Newcomer</v>
      </c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 t="str" cm="1">
        <f t="array" ref="M1216">_xlfn.IFS(L1216="Retirement","Voluntary",L1216="Resignation","Voluntary",L1216="Layoff","InVoluntary")</f>
        <v>Voluntary</v>
      </c>
      <c r="N1216" s="4" t="s">
        <v>26</v>
      </c>
      <c r="O1216" s="41"/>
      <c r="P1216">
        <v>1</v>
      </c>
      <c r="Q1216" t="s">
        <v>173</v>
      </c>
    </row>
    <row r="1217" spans="1:17" x14ac:dyDescent="0.35">
      <c r="A1217" s="4">
        <v>6869</v>
      </c>
      <c r="B1217" s="5">
        <v>40472</v>
      </c>
      <c r="C1217" s="5">
        <v>43962</v>
      </c>
      <c r="D1217" s="4">
        <v>10</v>
      </c>
      <c r="E1217" s="6" t="str" cm="1">
        <f t="array" ref="E1217">_xlfn.IFS(D1217&lt;=5,"Newcomer",AND(D1217&gt;=6,D1217&lt;=10),"Proficient",D1217&gt;10,"Expert")</f>
        <v>Proficient</v>
      </c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 t="str" cm="1">
        <f t="array" ref="M1217">_xlfn.IFS(L1217="Retirement","Voluntary",L1217="Resignation","Voluntary",L1217="Layoff","InVoluntary")</f>
        <v>Voluntary</v>
      </c>
      <c r="N1217" s="4" t="s">
        <v>26</v>
      </c>
      <c r="O1217" s="41"/>
      <c r="P1217">
        <v>1</v>
      </c>
      <c r="Q1217" t="s">
        <v>173</v>
      </c>
    </row>
    <row r="1218" spans="1:17" x14ac:dyDescent="0.35">
      <c r="A1218" s="4">
        <v>6870</v>
      </c>
      <c r="B1218" s="5">
        <v>36492</v>
      </c>
      <c r="C1218" s="5">
        <v>44143</v>
      </c>
      <c r="D1218" s="4">
        <v>21</v>
      </c>
      <c r="E1218" s="6" t="str" cm="1">
        <f t="array" ref="E1218">_xlfn.IFS(D1218&lt;=5,"Newcomer",AND(D1218&gt;=6,D1218&lt;=10),"Proficient",D1218&gt;10,"Expert")</f>
        <v>Expert</v>
      </c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 t="str" cm="1">
        <f t="array" ref="M1218">_xlfn.IFS(L1218="Retirement","Voluntary",L1218="Resignation","Voluntary",L1218="Layoff","InVoluntary")</f>
        <v>InVoluntary</v>
      </c>
      <c r="N1218" s="4" t="s">
        <v>26</v>
      </c>
      <c r="O1218" s="41"/>
      <c r="P1218">
        <v>1</v>
      </c>
      <c r="Q1218" t="s">
        <v>174</v>
      </c>
    </row>
    <row r="1219" spans="1:17" x14ac:dyDescent="0.35">
      <c r="A1219" s="4">
        <v>6872</v>
      </c>
      <c r="B1219" s="5">
        <v>37097</v>
      </c>
      <c r="C1219" s="5">
        <v>43973</v>
      </c>
      <c r="D1219" s="4">
        <v>19</v>
      </c>
      <c r="E1219" s="6" t="str" cm="1">
        <f t="array" ref="E1219">_xlfn.IFS(D1219&lt;=5,"Newcomer",AND(D1219&gt;=6,D1219&lt;=10),"Proficient",D1219&gt;10,"Expert")</f>
        <v>Expert</v>
      </c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 t="str" cm="1">
        <f t="array" ref="M1219">_xlfn.IFS(L1219="Retirement","Voluntary",L1219="Resignation","Voluntary",L1219="Layoff","InVoluntary")</f>
        <v>InVoluntary</v>
      </c>
      <c r="N1219" s="4" t="s">
        <v>26</v>
      </c>
      <c r="O1219" s="41"/>
      <c r="P1219">
        <v>1</v>
      </c>
      <c r="Q1219" t="s">
        <v>174</v>
      </c>
    </row>
    <row r="1220" spans="1:17" x14ac:dyDescent="0.35">
      <c r="A1220" s="4">
        <v>6874</v>
      </c>
      <c r="B1220" s="5">
        <v>42129</v>
      </c>
      <c r="C1220" s="5">
        <v>43965</v>
      </c>
      <c r="D1220" s="4">
        <v>5</v>
      </c>
      <c r="E1220" s="6" t="str" cm="1">
        <f t="array" ref="E1220">_xlfn.IFS(D1220&lt;=5,"Newcomer",AND(D1220&gt;=6,D1220&lt;=10),"Proficient",D1220&gt;10,"Expert")</f>
        <v>Newcomer</v>
      </c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 t="str" cm="1">
        <f t="array" ref="M1220">_xlfn.IFS(L1220="Retirement","Voluntary",L1220="Resignation","Voluntary",L1220="Layoff","InVoluntary")</f>
        <v>Voluntary</v>
      </c>
      <c r="N1220" s="4" t="s">
        <v>26</v>
      </c>
      <c r="O1220" s="41"/>
      <c r="P1220">
        <v>1</v>
      </c>
      <c r="Q1220" t="s">
        <v>173</v>
      </c>
    </row>
    <row r="1221" spans="1:17" x14ac:dyDescent="0.35">
      <c r="A1221" s="4">
        <v>6875</v>
      </c>
      <c r="B1221" s="5">
        <v>41996</v>
      </c>
      <c r="C1221" s="5">
        <v>44129</v>
      </c>
      <c r="D1221" s="4">
        <v>6</v>
      </c>
      <c r="E1221" s="6" t="str" cm="1">
        <f t="array" ref="E1221">_xlfn.IFS(D1221&lt;=5,"Newcomer",AND(D1221&gt;=6,D1221&lt;=10),"Proficient",D1221&gt;10,"Expert")</f>
        <v>Proficient</v>
      </c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 t="str" cm="1">
        <f t="array" ref="M1221">_xlfn.IFS(L1221="Retirement","Voluntary",L1221="Resignation","Voluntary",L1221="Layoff","InVoluntary")</f>
        <v>Voluntary</v>
      </c>
      <c r="N1221" s="4" t="s">
        <v>26</v>
      </c>
      <c r="O1221" s="41"/>
      <c r="P1221">
        <v>1</v>
      </c>
      <c r="Q1221" t="s">
        <v>173</v>
      </c>
    </row>
    <row r="1222" spans="1:17" x14ac:dyDescent="0.35">
      <c r="A1222" s="4">
        <v>6880</v>
      </c>
      <c r="B1222" s="5">
        <v>39579</v>
      </c>
      <c r="C1222" s="5">
        <v>44175</v>
      </c>
      <c r="D1222" s="4">
        <v>12</v>
      </c>
      <c r="E1222" s="6" t="str" cm="1">
        <f t="array" ref="E1222">_xlfn.IFS(D1222&lt;=5,"Newcomer",AND(D1222&gt;=6,D1222&lt;=10),"Proficient",D1222&gt;10,"Expert")</f>
        <v>Expert</v>
      </c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 t="str" cm="1">
        <f t="array" ref="M1222">_xlfn.IFS(L1222="Retirement","Voluntary",L1222="Resignation","Voluntary",L1222="Layoff","InVoluntary")</f>
        <v>Voluntary</v>
      </c>
      <c r="N1222" s="4" t="s">
        <v>26</v>
      </c>
      <c r="O1222" s="41"/>
      <c r="P1222">
        <v>1</v>
      </c>
      <c r="Q1222" t="s">
        <v>173</v>
      </c>
    </row>
    <row r="1223" spans="1:17" x14ac:dyDescent="0.35">
      <c r="A1223" s="4">
        <v>6896</v>
      </c>
      <c r="B1223" s="5">
        <v>39401</v>
      </c>
      <c r="C1223" s="5">
        <v>44022</v>
      </c>
      <c r="D1223" s="4">
        <v>13</v>
      </c>
      <c r="E1223" s="6" t="str" cm="1">
        <f t="array" ref="E1223">_xlfn.IFS(D1223&lt;=5,"Newcomer",AND(D1223&gt;=6,D1223&lt;=10),"Proficient",D1223&gt;10,"Expert")</f>
        <v>Expert</v>
      </c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 t="str" cm="1">
        <f t="array" ref="M1223">_xlfn.IFS(L1223="Retirement","Voluntary",L1223="Resignation","Voluntary",L1223="Layoff","InVoluntary")</f>
        <v>Voluntary</v>
      </c>
      <c r="N1223" s="4" t="s">
        <v>26</v>
      </c>
      <c r="O1223" s="41"/>
      <c r="P1223">
        <v>1</v>
      </c>
      <c r="Q1223" t="s">
        <v>173</v>
      </c>
    </row>
    <row r="1224" spans="1:17" x14ac:dyDescent="0.35">
      <c r="A1224" s="4">
        <v>6912</v>
      </c>
      <c r="B1224" s="5">
        <v>38313</v>
      </c>
      <c r="C1224" s="5">
        <v>44140</v>
      </c>
      <c r="D1224" s="4">
        <v>16</v>
      </c>
      <c r="E1224" s="6" t="str" cm="1">
        <f t="array" ref="E1224">_xlfn.IFS(D1224&lt;=5,"Newcomer",AND(D1224&gt;=6,D1224&lt;=10),"Proficient",D1224&gt;10,"Expert")</f>
        <v>Expert</v>
      </c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 t="str" cm="1">
        <f t="array" ref="M1224">_xlfn.IFS(L1224="Retirement","Voluntary",L1224="Resignation","Voluntary",L1224="Layoff","InVoluntary")</f>
        <v>InVoluntary</v>
      </c>
      <c r="N1224" s="4" t="s">
        <v>26</v>
      </c>
      <c r="O1224" s="41"/>
      <c r="P1224">
        <v>1</v>
      </c>
      <c r="Q1224" t="s">
        <v>174</v>
      </c>
    </row>
    <row r="1225" spans="1:17" x14ac:dyDescent="0.35">
      <c r="A1225" s="4">
        <v>6913</v>
      </c>
      <c r="B1225" s="5">
        <v>35801</v>
      </c>
      <c r="C1225" s="5">
        <v>44006</v>
      </c>
      <c r="D1225" s="4">
        <v>22</v>
      </c>
      <c r="E1225" s="6" t="str" cm="1">
        <f t="array" ref="E1225">_xlfn.IFS(D1225&lt;=5,"Newcomer",AND(D1225&gt;=6,D1225&lt;=10),"Proficient",D1225&gt;10,"Expert")</f>
        <v>Expert</v>
      </c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 t="str" cm="1">
        <f t="array" ref="M1225">_xlfn.IFS(L1225="Retirement","Voluntary",L1225="Resignation","Voluntary",L1225="Layoff","InVoluntary")</f>
        <v>Voluntary</v>
      </c>
      <c r="N1225" s="4" t="s">
        <v>26</v>
      </c>
      <c r="O1225" s="41"/>
      <c r="P1225">
        <v>1</v>
      </c>
      <c r="Q1225" t="s">
        <v>173</v>
      </c>
    </row>
    <row r="1226" spans="1:17" x14ac:dyDescent="0.35">
      <c r="A1226" s="4">
        <v>6914</v>
      </c>
      <c r="B1226" s="5">
        <v>36158</v>
      </c>
      <c r="C1226" s="5">
        <v>44175</v>
      </c>
      <c r="D1226" s="4">
        <v>22</v>
      </c>
      <c r="E1226" s="6" t="str" cm="1">
        <f t="array" ref="E1226">_xlfn.IFS(D1226&lt;=5,"Newcomer",AND(D1226&gt;=6,D1226&lt;=10),"Proficient",D1226&gt;10,"Expert")</f>
        <v>Expert</v>
      </c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 t="str" cm="1">
        <f t="array" ref="M1226">_xlfn.IFS(L1226="Retirement","Voluntary",L1226="Resignation","Voluntary",L1226="Layoff","InVoluntary")</f>
        <v>Voluntary</v>
      </c>
      <c r="N1226" s="4" t="s">
        <v>26</v>
      </c>
      <c r="O1226" s="41"/>
      <c r="P1226">
        <v>1</v>
      </c>
      <c r="Q1226" t="s">
        <v>173</v>
      </c>
    </row>
    <row r="1227" spans="1:17" x14ac:dyDescent="0.35">
      <c r="A1227" s="4">
        <v>6915</v>
      </c>
      <c r="B1227" s="5">
        <v>40331</v>
      </c>
      <c r="C1227" s="5">
        <v>43950</v>
      </c>
      <c r="D1227" s="4">
        <v>10</v>
      </c>
      <c r="E1227" s="6" t="str" cm="1">
        <f t="array" ref="E1227">_xlfn.IFS(D1227&lt;=5,"Newcomer",AND(D1227&gt;=6,D1227&lt;=10),"Proficient",D1227&gt;10,"Expert")</f>
        <v>Proficient</v>
      </c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 t="str" cm="1">
        <f t="array" ref="M1227">_xlfn.IFS(L1227="Retirement","Voluntary",L1227="Resignation","Voluntary",L1227="Layoff","InVoluntary")</f>
        <v>Voluntary</v>
      </c>
      <c r="N1227" s="4" t="s">
        <v>26</v>
      </c>
      <c r="O1227" s="41"/>
      <c r="P1227">
        <v>1</v>
      </c>
      <c r="Q1227" t="s">
        <v>173</v>
      </c>
    </row>
    <row r="1228" spans="1:17" x14ac:dyDescent="0.35">
      <c r="A1228" s="4">
        <v>6918</v>
      </c>
      <c r="B1228" s="5">
        <v>32917</v>
      </c>
      <c r="C1228" s="5">
        <v>43949</v>
      </c>
      <c r="D1228" s="4">
        <v>30</v>
      </c>
      <c r="E1228" s="6" t="str" cm="1">
        <f t="array" ref="E1228">_xlfn.IFS(D1228&lt;=5,"Newcomer",AND(D1228&gt;=6,D1228&lt;=10),"Proficient",D1228&gt;10,"Expert")</f>
        <v>Expert</v>
      </c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 t="str" cm="1">
        <f t="array" ref="M1228">_xlfn.IFS(L1228="Retirement","Voluntary",L1228="Resignation","Voluntary",L1228="Layoff","InVoluntary")</f>
        <v>Voluntary</v>
      </c>
      <c r="N1228" s="4" t="s">
        <v>26</v>
      </c>
      <c r="O1228" s="41"/>
      <c r="P1228">
        <v>1</v>
      </c>
      <c r="Q1228" t="s">
        <v>173</v>
      </c>
    </row>
    <row r="1229" spans="1:17" x14ac:dyDescent="0.35">
      <c r="A1229" s="4">
        <v>6919</v>
      </c>
      <c r="B1229" s="5">
        <v>38564</v>
      </c>
      <c r="C1229" s="5">
        <v>43965</v>
      </c>
      <c r="D1229" s="4">
        <v>15</v>
      </c>
      <c r="E1229" s="6" t="str" cm="1">
        <f t="array" ref="E1229">_xlfn.IFS(D1229&lt;=5,"Newcomer",AND(D1229&gt;=6,D1229&lt;=10),"Proficient",D1229&gt;10,"Expert")</f>
        <v>Expert</v>
      </c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 t="str" cm="1">
        <f t="array" ref="M1229">_xlfn.IFS(L1229="Retirement","Voluntary",L1229="Resignation","Voluntary",L1229="Layoff","InVoluntary")</f>
        <v>Voluntary</v>
      </c>
      <c r="N1229" s="4" t="s">
        <v>26</v>
      </c>
      <c r="O1229" s="41"/>
      <c r="P1229">
        <v>1</v>
      </c>
      <c r="Q1229" t="s">
        <v>173</v>
      </c>
    </row>
    <row r="1230" spans="1:17" x14ac:dyDescent="0.35">
      <c r="A1230" s="4">
        <v>6921</v>
      </c>
      <c r="B1230" s="5">
        <v>34234</v>
      </c>
      <c r="C1230" s="5">
        <v>43883</v>
      </c>
      <c r="D1230" s="4">
        <v>27</v>
      </c>
      <c r="E1230" s="6" t="str" cm="1">
        <f t="array" ref="E1230">_xlfn.IFS(D1230&lt;=5,"Newcomer",AND(D1230&gt;=6,D1230&lt;=10),"Proficient",D1230&gt;10,"Expert")</f>
        <v>Expert</v>
      </c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 t="str" cm="1">
        <f t="array" ref="M1230">_xlfn.IFS(L1230="Retirement","Voluntary",L1230="Resignation","Voluntary",L1230="Layoff","InVoluntary")</f>
        <v>Voluntary</v>
      </c>
      <c r="N1230" s="4" t="s">
        <v>26</v>
      </c>
      <c r="O1230" s="41"/>
      <c r="P1230">
        <v>1</v>
      </c>
      <c r="Q1230" t="s">
        <v>173</v>
      </c>
    </row>
    <row r="1231" spans="1:17" x14ac:dyDescent="0.35">
      <c r="A1231" s="4">
        <v>6937</v>
      </c>
      <c r="B1231" s="5">
        <v>33857</v>
      </c>
      <c r="C1231" s="5">
        <v>44135</v>
      </c>
      <c r="D1231" s="4">
        <v>28</v>
      </c>
      <c r="E1231" s="6" t="str" cm="1">
        <f t="array" ref="E1231">_xlfn.IFS(D1231&lt;=5,"Newcomer",AND(D1231&gt;=6,D1231&lt;=10),"Proficient",D1231&gt;10,"Expert")</f>
        <v>Expert</v>
      </c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 t="str" cm="1">
        <f t="array" ref="M1231">_xlfn.IFS(L1231="Retirement","Voluntary",L1231="Resignation","Voluntary",L1231="Layoff","InVoluntary")</f>
        <v>Voluntary</v>
      </c>
      <c r="N1231" s="4" t="s">
        <v>26</v>
      </c>
      <c r="O1231" s="41"/>
      <c r="P1231">
        <v>1</v>
      </c>
      <c r="Q1231" t="s">
        <v>173</v>
      </c>
    </row>
    <row r="1232" spans="1:17" x14ac:dyDescent="0.35">
      <c r="A1232" s="4">
        <v>6941</v>
      </c>
      <c r="B1232" s="5">
        <v>33594</v>
      </c>
      <c r="C1232" s="5">
        <v>44065</v>
      </c>
      <c r="D1232" s="4">
        <v>29</v>
      </c>
      <c r="E1232" s="6" t="str" cm="1">
        <f t="array" ref="E1232">_xlfn.IFS(D1232&lt;=5,"Newcomer",AND(D1232&gt;=6,D1232&lt;=10),"Proficient",D1232&gt;10,"Expert")</f>
        <v>Expert</v>
      </c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 t="str" cm="1">
        <f t="array" ref="M1232">_xlfn.IFS(L1232="Retirement","Voluntary",L1232="Resignation","Voluntary",L1232="Layoff","InVoluntary")</f>
        <v>InVoluntary</v>
      </c>
      <c r="N1232" s="4" t="s">
        <v>26</v>
      </c>
      <c r="O1232" s="41"/>
      <c r="P1232">
        <v>1</v>
      </c>
      <c r="Q1232" t="s">
        <v>174</v>
      </c>
    </row>
    <row r="1233" spans="1:17" x14ac:dyDescent="0.35">
      <c r="A1233" s="4">
        <v>6955</v>
      </c>
      <c r="B1233" s="5">
        <v>42225</v>
      </c>
      <c r="C1233" s="5">
        <v>43862</v>
      </c>
      <c r="D1233" s="4">
        <v>5</v>
      </c>
      <c r="E1233" s="6" t="str" cm="1">
        <f t="array" ref="E1233">_xlfn.IFS(D1233&lt;=5,"Newcomer",AND(D1233&gt;=6,D1233&lt;=10),"Proficient",D1233&gt;10,"Expert")</f>
        <v>Newcomer</v>
      </c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 t="str" cm="1">
        <f t="array" ref="M1233">_xlfn.IFS(L1233="Retirement","Voluntary",L1233="Resignation","Voluntary",L1233="Layoff","InVoluntary")</f>
        <v>InVoluntary</v>
      </c>
      <c r="N1233" s="4" t="s">
        <v>26</v>
      </c>
      <c r="O1233" s="41"/>
      <c r="P1233">
        <v>1</v>
      </c>
      <c r="Q1233" t="s">
        <v>174</v>
      </c>
    </row>
    <row r="1234" spans="1:17" x14ac:dyDescent="0.35">
      <c r="A1234" s="4">
        <v>6974</v>
      </c>
      <c r="B1234" s="5">
        <v>39261</v>
      </c>
      <c r="C1234" s="5">
        <v>43874</v>
      </c>
      <c r="D1234" s="4">
        <v>13</v>
      </c>
      <c r="E1234" s="6" t="str" cm="1">
        <f t="array" ref="E1234">_xlfn.IFS(D1234&lt;=5,"Newcomer",AND(D1234&gt;=6,D1234&lt;=10),"Proficient",D1234&gt;10,"Expert")</f>
        <v>Expert</v>
      </c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 t="str" cm="1">
        <f t="array" ref="M1234">_xlfn.IFS(L1234="Retirement","Voluntary",L1234="Resignation","Voluntary",L1234="Layoff","InVoluntary")</f>
        <v>Voluntary</v>
      </c>
      <c r="N1234" s="4" t="s">
        <v>26</v>
      </c>
      <c r="O1234" s="41"/>
      <c r="P1234">
        <v>1</v>
      </c>
      <c r="Q1234" t="s">
        <v>173</v>
      </c>
    </row>
    <row r="1235" spans="1:17" x14ac:dyDescent="0.35">
      <c r="A1235" s="4">
        <v>6980</v>
      </c>
      <c r="B1235" s="5">
        <v>34330</v>
      </c>
      <c r="C1235" s="5">
        <v>43952</v>
      </c>
      <c r="D1235" s="4">
        <v>27</v>
      </c>
      <c r="E1235" s="6" t="str" cm="1">
        <f t="array" ref="E1235">_xlfn.IFS(D1235&lt;=5,"Newcomer",AND(D1235&gt;=6,D1235&lt;=10),"Proficient",D1235&gt;10,"Expert")</f>
        <v>Expert</v>
      </c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 t="str" cm="1">
        <f t="array" ref="M1235">_xlfn.IFS(L1235="Retirement","Voluntary",L1235="Resignation","Voluntary",L1235="Layoff","InVoluntary")</f>
        <v>Voluntary</v>
      </c>
      <c r="N1235" s="4" t="s">
        <v>26</v>
      </c>
      <c r="O1235" s="41"/>
      <c r="P1235">
        <v>1</v>
      </c>
      <c r="Q1235" t="s">
        <v>173</v>
      </c>
    </row>
    <row r="1236" spans="1:17" x14ac:dyDescent="0.35">
      <c r="A1236" s="4">
        <v>6981</v>
      </c>
      <c r="B1236" s="5">
        <v>39359</v>
      </c>
      <c r="C1236" s="5">
        <v>43934</v>
      </c>
      <c r="D1236" s="4">
        <v>13</v>
      </c>
      <c r="E1236" s="6" t="str" cm="1">
        <f t="array" ref="E1236">_xlfn.IFS(D1236&lt;=5,"Newcomer",AND(D1236&gt;=6,D1236&lt;=10),"Proficient",D1236&gt;10,"Expert")</f>
        <v>Expert</v>
      </c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 t="str" cm="1">
        <f t="array" ref="M1236">_xlfn.IFS(L1236="Retirement","Voluntary",L1236="Resignation","Voluntary",L1236="Layoff","InVoluntary")</f>
        <v>Voluntary</v>
      </c>
      <c r="N1236" s="4" t="s">
        <v>26</v>
      </c>
      <c r="O1236" s="41"/>
      <c r="P1236">
        <v>1</v>
      </c>
      <c r="Q1236" t="s">
        <v>173</v>
      </c>
    </row>
    <row r="1237" spans="1:17" x14ac:dyDescent="0.35">
      <c r="A1237" s="4">
        <v>7005</v>
      </c>
      <c r="B1237" s="5">
        <v>40922</v>
      </c>
      <c r="C1237" s="5">
        <v>43839</v>
      </c>
      <c r="D1237" s="4">
        <v>8</v>
      </c>
      <c r="E1237" s="6" t="str" cm="1">
        <f t="array" ref="E1237">_xlfn.IFS(D1237&lt;=5,"Newcomer",AND(D1237&gt;=6,D1237&lt;=10),"Proficient",D1237&gt;10,"Expert")</f>
        <v>Proficient</v>
      </c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 t="str" cm="1">
        <f t="array" ref="M1237">_xlfn.IFS(L1237="Retirement","Voluntary",L1237="Resignation","Voluntary",L1237="Layoff","InVoluntary")</f>
        <v>InVoluntary</v>
      </c>
      <c r="N1237" s="4" t="s">
        <v>26</v>
      </c>
      <c r="O1237" s="41"/>
      <c r="P1237">
        <v>1</v>
      </c>
      <c r="Q1237" t="s">
        <v>174</v>
      </c>
    </row>
    <row r="1238" spans="1:17" x14ac:dyDescent="0.35">
      <c r="A1238" s="4">
        <v>7006</v>
      </c>
      <c r="B1238" s="5">
        <v>37755</v>
      </c>
      <c r="C1238" s="5">
        <v>44061</v>
      </c>
      <c r="D1238" s="4">
        <v>17</v>
      </c>
      <c r="E1238" s="6" t="str" cm="1">
        <f t="array" ref="E1238">_xlfn.IFS(D1238&lt;=5,"Newcomer",AND(D1238&gt;=6,D1238&lt;=10),"Proficient",D1238&gt;10,"Expert")</f>
        <v>Expert</v>
      </c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 t="str" cm="1">
        <f t="array" ref="M1238">_xlfn.IFS(L1238="Retirement","Voluntary",L1238="Resignation","Voluntary",L1238="Layoff","InVoluntary")</f>
        <v>InVoluntary</v>
      </c>
      <c r="N1238" s="4" t="s">
        <v>26</v>
      </c>
      <c r="O1238" s="41"/>
      <c r="P1238">
        <v>1</v>
      </c>
      <c r="Q1238" t="s">
        <v>174</v>
      </c>
    </row>
    <row r="1239" spans="1:17" x14ac:dyDescent="0.35">
      <c r="A1239" s="4">
        <v>7007</v>
      </c>
      <c r="B1239" s="5">
        <v>42029</v>
      </c>
      <c r="C1239" s="5">
        <v>43844</v>
      </c>
      <c r="D1239" s="4">
        <v>5</v>
      </c>
      <c r="E1239" s="6" t="str" cm="1">
        <f t="array" ref="E1239">_xlfn.IFS(D1239&lt;=5,"Newcomer",AND(D1239&gt;=6,D1239&lt;=10),"Proficient",D1239&gt;10,"Expert")</f>
        <v>Newcomer</v>
      </c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 t="str" cm="1">
        <f t="array" ref="M1239">_xlfn.IFS(L1239="Retirement","Voluntary",L1239="Resignation","Voluntary",L1239="Layoff","InVoluntary")</f>
        <v>Voluntary</v>
      </c>
      <c r="N1239" s="4" t="s">
        <v>26</v>
      </c>
      <c r="O1239" s="41"/>
      <c r="P1239">
        <v>1</v>
      </c>
      <c r="Q1239" t="s">
        <v>173</v>
      </c>
    </row>
    <row r="1240" spans="1:17" x14ac:dyDescent="0.35">
      <c r="A1240" s="4">
        <v>7010</v>
      </c>
      <c r="B1240" s="5">
        <v>34730</v>
      </c>
      <c r="C1240" s="5">
        <v>44150</v>
      </c>
      <c r="D1240" s="4">
        <v>25</v>
      </c>
      <c r="E1240" s="6" t="str" cm="1">
        <f t="array" ref="E1240">_xlfn.IFS(D1240&lt;=5,"Newcomer",AND(D1240&gt;=6,D1240&lt;=10),"Proficient",D1240&gt;10,"Expert")</f>
        <v>Expert</v>
      </c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 t="str" cm="1">
        <f t="array" ref="M1240">_xlfn.IFS(L1240="Retirement","Voluntary",L1240="Resignation","Voluntary",L1240="Layoff","InVoluntary")</f>
        <v>InVoluntary</v>
      </c>
      <c r="N1240" s="4" t="s">
        <v>26</v>
      </c>
      <c r="O1240" s="41"/>
      <c r="P1240">
        <v>1</v>
      </c>
      <c r="Q1240" t="s">
        <v>174</v>
      </c>
    </row>
    <row r="1241" spans="1:17" x14ac:dyDescent="0.35">
      <c r="A1241" s="4">
        <v>7016</v>
      </c>
      <c r="B1241" s="5">
        <v>39832</v>
      </c>
      <c r="C1241" s="5">
        <v>43913</v>
      </c>
      <c r="D1241" s="4">
        <v>11</v>
      </c>
      <c r="E1241" s="6" t="str" cm="1">
        <f t="array" ref="E1241">_xlfn.IFS(D1241&lt;=5,"Newcomer",AND(D1241&gt;=6,D1241&lt;=10),"Proficient",D1241&gt;10,"Expert")</f>
        <v>Expert</v>
      </c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 t="str" cm="1">
        <f t="array" ref="M1241">_xlfn.IFS(L1241="Retirement","Voluntary",L1241="Resignation","Voluntary",L1241="Layoff","InVoluntary")</f>
        <v>InVoluntary</v>
      </c>
      <c r="N1241" s="4" t="s">
        <v>26</v>
      </c>
      <c r="O1241" s="41"/>
      <c r="P1241">
        <v>1</v>
      </c>
      <c r="Q1241" t="s">
        <v>174</v>
      </c>
    </row>
    <row r="1242" spans="1:17" x14ac:dyDescent="0.35">
      <c r="A1242" s="4">
        <v>7020</v>
      </c>
      <c r="B1242" s="5">
        <v>36338</v>
      </c>
      <c r="C1242" s="5">
        <v>44050</v>
      </c>
      <c r="D1242" s="4">
        <v>21</v>
      </c>
      <c r="E1242" s="6" t="str" cm="1">
        <f t="array" ref="E1242">_xlfn.IFS(D1242&lt;=5,"Newcomer",AND(D1242&gt;=6,D1242&lt;=10),"Proficient",D1242&gt;10,"Expert")</f>
        <v>Expert</v>
      </c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 t="str" cm="1">
        <f t="array" ref="M1242">_xlfn.IFS(L1242="Retirement","Voluntary",L1242="Resignation","Voluntary",L1242="Layoff","InVoluntary")</f>
        <v>InVoluntary</v>
      </c>
      <c r="N1242" s="4" t="s">
        <v>26</v>
      </c>
      <c r="O1242" s="41"/>
      <c r="P1242">
        <v>1</v>
      </c>
      <c r="Q1242" t="s">
        <v>174</v>
      </c>
    </row>
    <row r="1243" spans="1:17" x14ac:dyDescent="0.35">
      <c r="A1243" s="4">
        <v>7023</v>
      </c>
      <c r="B1243" s="5">
        <v>39596</v>
      </c>
      <c r="C1243" s="5">
        <v>44139</v>
      </c>
      <c r="D1243" s="4">
        <v>12</v>
      </c>
      <c r="E1243" s="6" t="str" cm="1">
        <f t="array" ref="E1243">_xlfn.IFS(D1243&lt;=5,"Newcomer",AND(D1243&gt;=6,D1243&lt;=10),"Proficient",D1243&gt;10,"Expert")</f>
        <v>Expert</v>
      </c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 t="str" cm="1">
        <f t="array" ref="M1243">_xlfn.IFS(L1243="Retirement","Voluntary",L1243="Resignation","Voluntary",L1243="Layoff","InVoluntary")</f>
        <v>Voluntary</v>
      </c>
      <c r="N1243" s="4" t="s">
        <v>26</v>
      </c>
      <c r="O1243" s="41"/>
      <c r="P1243">
        <v>1</v>
      </c>
      <c r="Q1243" t="s">
        <v>173</v>
      </c>
    </row>
    <row r="1244" spans="1:17" x14ac:dyDescent="0.35">
      <c r="A1244" s="4">
        <v>7025</v>
      </c>
      <c r="B1244" s="5">
        <v>34785</v>
      </c>
      <c r="C1244" s="5">
        <v>44158</v>
      </c>
      <c r="D1244" s="4">
        <v>25</v>
      </c>
      <c r="E1244" s="6" t="str" cm="1">
        <f t="array" ref="E1244">_xlfn.IFS(D1244&lt;=5,"Newcomer",AND(D1244&gt;=6,D1244&lt;=10),"Proficient",D1244&gt;10,"Expert")</f>
        <v>Expert</v>
      </c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 t="str" cm="1">
        <f t="array" ref="M1244">_xlfn.IFS(L1244="Retirement","Voluntary",L1244="Resignation","Voluntary",L1244="Layoff","InVoluntary")</f>
        <v>Voluntary</v>
      </c>
      <c r="N1244" s="4" t="s">
        <v>26</v>
      </c>
      <c r="O1244" s="41"/>
      <c r="P1244">
        <v>1</v>
      </c>
      <c r="Q1244" t="s">
        <v>173</v>
      </c>
    </row>
    <row r="1245" spans="1:17" x14ac:dyDescent="0.35">
      <c r="A1245" s="4">
        <v>7026</v>
      </c>
      <c r="B1245" s="5">
        <v>41925</v>
      </c>
      <c r="C1245" s="5">
        <v>43949</v>
      </c>
      <c r="D1245" s="4">
        <v>6</v>
      </c>
      <c r="E1245" s="6" t="str" cm="1">
        <f t="array" ref="E1245">_xlfn.IFS(D1245&lt;=5,"Newcomer",AND(D1245&gt;=6,D1245&lt;=10),"Proficient",D1245&gt;10,"Expert")</f>
        <v>Proficient</v>
      </c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 t="str" cm="1">
        <f t="array" ref="M1245">_xlfn.IFS(L1245="Retirement","Voluntary",L1245="Resignation","Voluntary",L1245="Layoff","InVoluntary")</f>
        <v>Voluntary</v>
      </c>
      <c r="N1245" s="4" t="s">
        <v>26</v>
      </c>
      <c r="O1245" s="41"/>
      <c r="P1245">
        <v>1</v>
      </c>
      <c r="Q1245" t="s">
        <v>173</v>
      </c>
    </row>
    <row r="1246" spans="1:17" x14ac:dyDescent="0.35">
      <c r="A1246" s="4">
        <v>7027</v>
      </c>
      <c r="B1246" s="5">
        <v>41388</v>
      </c>
      <c r="C1246" s="5">
        <v>43847</v>
      </c>
      <c r="D1246" s="4">
        <v>7</v>
      </c>
      <c r="E1246" s="6" t="str" cm="1">
        <f t="array" ref="E1246">_xlfn.IFS(D1246&lt;=5,"Newcomer",AND(D1246&gt;=6,D1246&lt;=10),"Proficient",D1246&gt;10,"Expert")</f>
        <v>Proficient</v>
      </c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 t="str" cm="1">
        <f t="array" ref="M1246">_xlfn.IFS(L1246="Retirement","Voluntary",L1246="Resignation","Voluntary",L1246="Layoff","InVoluntary")</f>
        <v>Voluntary</v>
      </c>
      <c r="N1246" s="4" t="s">
        <v>26</v>
      </c>
      <c r="O1246" s="41"/>
      <c r="P1246">
        <v>1</v>
      </c>
      <c r="Q1246" t="s">
        <v>173</v>
      </c>
    </row>
    <row r="1247" spans="1:17" x14ac:dyDescent="0.35">
      <c r="A1247" s="4">
        <v>7028</v>
      </c>
      <c r="B1247" s="5">
        <v>39611</v>
      </c>
      <c r="C1247" s="5">
        <v>44068</v>
      </c>
      <c r="D1247" s="4">
        <v>12</v>
      </c>
      <c r="E1247" s="6" t="str" cm="1">
        <f t="array" ref="E1247">_xlfn.IFS(D1247&lt;=5,"Newcomer",AND(D1247&gt;=6,D1247&lt;=10),"Proficient",D1247&gt;10,"Expert")</f>
        <v>Expert</v>
      </c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 t="str" cm="1">
        <f t="array" ref="M1247">_xlfn.IFS(L1247="Retirement","Voluntary",L1247="Resignation","Voluntary",L1247="Layoff","InVoluntary")</f>
        <v>Voluntary</v>
      </c>
      <c r="N1247" s="4" t="s">
        <v>26</v>
      </c>
      <c r="O1247" s="41"/>
      <c r="P1247">
        <v>1</v>
      </c>
      <c r="Q1247" t="s">
        <v>173</v>
      </c>
    </row>
    <row r="1248" spans="1:17" x14ac:dyDescent="0.35">
      <c r="A1248" s="4">
        <v>7030</v>
      </c>
      <c r="B1248" s="5">
        <v>34023</v>
      </c>
      <c r="C1248" s="5">
        <v>44003</v>
      </c>
      <c r="D1248" s="4">
        <v>27</v>
      </c>
      <c r="E1248" s="6" t="str" cm="1">
        <f t="array" ref="E1248">_xlfn.IFS(D1248&lt;=5,"Newcomer",AND(D1248&gt;=6,D1248&lt;=10),"Proficient",D1248&gt;10,"Expert")</f>
        <v>Expert</v>
      </c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 t="str" cm="1">
        <f t="array" ref="M1248">_xlfn.IFS(L1248="Retirement","Voluntary",L1248="Resignation","Voluntary",L1248="Layoff","InVoluntary")</f>
        <v>Voluntary</v>
      </c>
      <c r="N1248" s="4" t="s">
        <v>26</v>
      </c>
      <c r="O1248" s="41"/>
      <c r="P1248">
        <v>1</v>
      </c>
      <c r="Q1248" t="s">
        <v>173</v>
      </c>
    </row>
    <row r="1249" spans="1:17" x14ac:dyDescent="0.35">
      <c r="A1249" s="4">
        <v>7033</v>
      </c>
      <c r="B1249" s="5">
        <v>34536</v>
      </c>
      <c r="C1249" s="5">
        <v>44037</v>
      </c>
      <c r="D1249" s="4">
        <v>26</v>
      </c>
      <c r="E1249" s="6" t="str" cm="1">
        <f t="array" ref="E1249">_xlfn.IFS(D1249&lt;=5,"Newcomer",AND(D1249&gt;=6,D1249&lt;=10),"Proficient",D1249&gt;10,"Expert")</f>
        <v>Expert</v>
      </c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 t="str" cm="1">
        <f t="array" ref="M1249">_xlfn.IFS(L1249="Retirement","Voluntary",L1249="Resignation","Voluntary",L1249="Layoff","InVoluntary")</f>
        <v>InVoluntary</v>
      </c>
      <c r="N1249" s="4" t="s">
        <v>26</v>
      </c>
      <c r="O1249" s="41"/>
      <c r="P1249">
        <v>1</v>
      </c>
      <c r="Q1249" t="s">
        <v>174</v>
      </c>
    </row>
    <row r="1250" spans="1:17" x14ac:dyDescent="0.35">
      <c r="A1250" s="4">
        <v>7036</v>
      </c>
      <c r="B1250" s="5">
        <v>40379</v>
      </c>
      <c r="C1250" s="5">
        <v>44152</v>
      </c>
      <c r="D1250" s="4">
        <v>10</v>
      </c>
      <c r="E1250" s="6" t="str" cm="1">
        <f t="array" ref="E1250">_xlfn.IFS(D1250&lt;=5,"Newcomer",AND(D1250&gt;=6,D1250&lt;=10),"Proficient",D1250&gt;10,"Expert")</f>
        <v>Proficient</v>
      </c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 t="str" cm="1">
        <f t="array" ref="M1250">_xlfn.IFS(L1250="Retirement","Voluntary",L1250="Resignation","Voluntary",L1250="Layoff","InVoluntary")</f>
        <v>Voluntary</v>
      </c>
      <c r="N1250" s="4" t="s">
        <v>26</v>
      </c>
      <c r="O1250" s="41"/>
      <c r="P1250">
        <v>1</v>
      </c>
      <c r="Q1250" t="s">
        <v>173</v>
      </c>
    </row>
    <row r="1251" spans="1:17" x14ac:dyDescent="0.35">
      <c r="A1251" s="4">
        <v>7039</v>
      </c>
      <c r="B1251" s="5">
        <v>42285</v>
      </c>
      <c r="C1251" s="5">
        <v>43996</v>
      </c>
      <c r="D1251" s="4">
        <v>5</v>
      </c>
      <c r="E1251" s="6" t="str" cm="1">
        <f t="array" ref="E1251">_xlfn.IFS(D1251&lt;=5,"Newcomer",AND(D1251&gt;=6,D1251&lt;=10),"Proficient",D1251&gt;10,"Expert")</f>
        <v>Newcomer</v>
      </c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 t="str" cm="1">
        <f t="array" ref="M1251">_xlfn.IFS(L1251="Retirement","Voluntary",L1251="Resignation","Voluntary",L1251="Layoff","InVoluntary")</f>
        <v>Voluntary</v>
      </c>
      <c r="N1251" s="4" t="s">
        <v>26</v>
      </c>
      <c r="O1251" s="41"/>
      <c r="P1251">
        <v>1</v>
      </c>
      <c r="Q1251" t="s">
        <v>173</v>
      </c>
    </row>
    <row r="1252" spans="1:17" x14ac:dyDescent="0.35">
      <c r="A1252" s="4">
        <v>7041</v>
      </c>
      <c r="B1252" s="5">
        <v>38965</v>
      </c>
      <c r="C1252" s="5">
        <v>44014</v>
      </c>
      <c r="D1252" s="4">
        <v>14</v>
      </c>
      <c r="E1252" s="6" t="str" cm="1">
        <f t="array" ref="E1252">_xlfn.IFS(D1252&lt;=5,"Newcomer",AND(D1252&gt;=6,D1252&lt;=10),"Proficient",D1252&gt;10,"Expert")</f>
        <v>Expert</v>
      </c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 t="str" cm="1">
        <f t="array" ref="M1252">_xlfn.IFS(L1252="Retirement","Voluntary",L1252="Resignation","Voluntary",L1252="Layoff","InVoluntary")</f>
        <v>Voluntary</v>
      </c>
      <c r="N1252" s="4" t="s">
        <v>26</v>
      </c>
      <c r="O1252" s="41"/>
      <c r="P1252">
        <v>1</v>
      </c>
      <c r="Q1252" t="s">
        <v>173</v>
      </c>
    </row>
    <row r="1253" spans="1:17" x14ac:dyDescent="0.35">
      <c r="A1253" s="4">
        <v>7042</v>
      </c>
      <c r="B1253" s="5">
        <v>37278</v>
      </c>
      <c r="C1253" s="5">
        <v>43833</v>
      </c>
      <c r="D1253" s="4">
        <v>18</v>
      </c>
      <c r="E1253" s="6" t="str" cm="1">
        <f t="array" ref="E1253">_xlfn.IFS(D1253&lt;=5,"Newcomer",AND(D1253&gt;=6,D1253&lt;=10),"Proficient",D1253&gt;10,"Expert")</f>
        <v>Expert</v>
      </c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 t="str" cm="1">
        <f t="array" ref="M1253">_xlfn.IFS(L1253="Retirement","Voluntary",L1253="Resignation","Voluntary",L1253="Layoff","InVoluntary")</f>
        <v>Voluntary</v>
      </c>
      <c r="N1253" s="4" t="s">
        <v>26</v>
      </c>
      <c r="O1253" s="41"/>
      <c r="P1253">
        <v>1</v>
      </c>
      <c r="Q1253" t="s">
        <v>173</v>
      </c>
    </row>
    <row r="1254" spans="1:17" x14ac:dyDescent="0.35">
      <c r="A1254" s="4">
        <v>7052</v>
      </c>
      <c r="B1254" s="5">
        <v>39262</v>
      </c>
      <c r="C1254" s="5">
        <v>43858</v>
      </c>
      <c r="D1254" s="4">
        <v>13</v>
      </c>
      <c r="E1254" s="6" t="str" cm="1">
        <f t="array" ref="E1254">_xlfn.IFS(D1254&lt;=5,"Newcomer",AND(D1254&gt;=6,D1254&lt;=10),"Proficient",D1254&gt;10,"Expert")</f>
        <v>Expert</v>
      </c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 t="str" cm="1">
        <f t="array" ref="M1254">_xlfn.IFS(L1254="Retirement","Voluntary",L1254="Resignation","Voluntary",L1254="Layoff","InVoluntary")</f>
        <v>Voluntary</v>
      </c>
      <c r="N1254" s="4" t="s">
        <v>26</v>
      </c>
      <c r="O1254" s="41"/>
      <c r="P1254">
        <v>1</v>
      </c>
      <c r="Q1254" t="s">
        <v>173</v>
      </c>
    </row>
    <row r="1255" spans="1:17" x14ac:dyDescent="0.35">
      <c r="A1255" s="4">
        <v>7056</v>
      </c>
      <c r="B1255" s="5">
        <v>35130</v>
      </c>
      <c r="C1255" s="5">
        <v>44121</v>
      </c>
      <c r="D1255" s="4">
        <v>24</v>
      </c>
      <c r="E1255" s="6" t="str" cm="1">
        <f t="array" ref="E1255">_xlfn.IFS(D1255&lt;=5,"Newcomer",AND(D1255&gt;=6,D1255&lt;=10),"Proficient",D1255&gt;10,"Expert")</f>
        <v>Expert</v>
      </c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 t="str" cm="1">
        <f t="array" ref="M1255">_xlfn.IFS(L1255="Retirement","Voluntary",L1255="Resignation","Voluntary",L1255="Layoff","InVoluntary")</f>
        <v>Voluntary</v>
      </c>
      <c r="N1255" s="4" t="s">
        <v>26</v>
      </c>
      <c r="O1255" s="41"/>
      <c r="P1255">
        <v>1</v>
      </c>
      <c r="Q1255" t="s">
        <v>173</v>
      </c>
    </row>
    <row r="1256" spans="1:17" x14ac:dyDescent="0.35">
      <c r="A1256" s="4">
        <v>7059</v>
      </c>
      <c r="B1256" s="5">
        <v>41930</v>
      </c>
      <c r="C1256" s="5">
        <v>43837</v>
      </c>
      <c r="D1256" s="4">
        <v>6</v>
      </c>
      <c r="E1256" s="6" t="str" cm="1">
        <f t="array" ref="E1256">_xlfn.IFS(D1256&lt;=5,"Newcomer",AND(D1256&gt;=6,D1256&lt;=10),"Proficient",D1256&gt;10,"Expert")</f>
        <v>Proficient</v>
      </c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 t="str" cm="1">
        <f t="array" ref="M1256">_xlfn.IFS(L1256="Retirement","Voluntary",L1256="Resignation","Voluntary",L1256="Layoff","InVoluntary")</f>
        <v>InVoluntary</v>
      </c>
      <c r="N1256" s="4" t="s">
        <v>26</v>
      </c>
      <c r="O1256" s="41"/>
      <c r="P1256">
        <v>1</v>
      </c>
      <c r="Q1256" t="s">
        <v>174</v>
      </c>
    </row>
    <row r="1257" spans="1:17" x14ac:dyDescent="0.35">
      <c r="A1257" s="4">
        <v>7067</v>
      </c>
      <c r="B1257" s="5">
        <v>33280</v>
      </c>
      <c r="C1257" s="5">
        <v>44077</v>
      </c>
      <c r="D1257" s="4">
        <v>29</v>
      </c>
      <c r="E1257" s="6" t="str" cm="1">
        <f t="array" ref="E1257">_xlfn.IFS(D1257&lt;=5,"Newcomer",AND(D1257&gt;=6,D1257&lt;=10),"Proficient",D1257&gt;10,"Expert")</f>
        <v>Expert</v>
      </c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 t="str" cm="1">
        <f t="array" ref="M1257">_xlfn.IFS(L1257="Retirement","Voluntary",L1257="Resignation","Voluntary",L1257="Layoff","InVoluntary")</f>
        <v>Voluntary</v>
      </c>
      <c r="N1257" s="4" t="s">
        <v>26</v>
      </c>
      <c r="O1257" s="41"/>
      <c r="P1257">
        <v>1</v>
      </c>
      <c r="Q1257" t="s">
        <v>173</v>
      </c>
    </row>
    <row r="1258" spans="1:17" x14ac:dyDescent="0.35">
      <c r="A1258" s="4">
        <v>7079</v>
      </c>
      <c r="B1258" s="5">
        <v>39890</v>
      </c>
      <c r="C1258" s="5">
        <v>43883</v>
      </c>
      <c r="D1258" s="4">
        <v>11</v>
      </c>
      <c r="E1258" s="6" t="str" cm="1">
        <f t="array" ref="E1258">_xlfn.IFS(D1258&lt;=5,"Newcomer",AND(D1258&gt;=6,D1258&lt;=10),"Proficient",D1258&gt;10,"Expert")</f>
        <v>Expert</v>
      </c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 t="str" cm="1">
        <f t="array" ref="M1258">_xlfn.IFS(L1258="Retirement","Voluntary",L1258="Resignation","Voluntary",L1258="Layoff","InVoluntary")</f>
        <v>InVoluntary</v>
      </c>
      <c r="N1258" s="4" t="s">
        <v>26</v>
      </c>
      <c r="O1258" s="41"/>
      <c r="P1258">
        <v>1</v>
      </c>
      <c r="Q1258" t="s">
        <v>174</v>
      </c>
    </row>
    <row r="1259" spans="1:17" x14ac:dyDescent="0.35">
      <c r="A1259" s="4">
        <v>7080</v>
      </c>
      <c r="B1259" s="5">
        <v>37048</v>
      </c>
      <c r="C1259" s="5">
        <v>43861</v>
      </c>
      <c r="D1259" s="4">
        <v>19</v>
      </c>
      <c r="E1259" s="6" t="str" cm="1">
        <f t="array" ref="E1259">_xlfn.IFS(D1259&lt;=5,"Newcomer",AND(D1259&gt;=6,D1259&lt;=10),"Proficient",D1259&gt;10,"Expert")</f>
        <v>Expert</v>
      </c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 t="str" cm="1">
        <f t="array" ref="M1259">_xlfn.IFS(L1259="Retirement","Voluntary",L1259="Resignation","Voluntary",L1259="Layoff","InVoluntary")</f>
        <v>InVoluntary</v>
      </c>
      <c r="N1259" s="4" t="s">
        <v>26</v>
      </c>
      <c r="O1259" s="41"/>
      <c r="P1259">
        <v>1</v>
      </c>
      <c r="Q1259" t="s">
        <v>174</v>
      </c>
    </row>
    <row r="1260" spans="1:17" x14ac:dyDescent="0.35">
      <c r="A1260" s="4">
        <v>7083</v>
      </c>
      <c r="B1260" s="5">
        <v>39248</v>
      </c>
      <c r="C1260" s="5">
        <v>43924</v>
      </c>
      <c r="D1260" s="4">
        <v>13</v>
      </c>
      <c r="E1260" s="6" t="str" cm="1">
        <f t="array" ref="E1260">_xlfn.IFS(D1260&lt;=5,"Newcomer",AND(D1260&gt;=6,D1260&lt;=10),"Proficient",D1260&gt;10,"Expert")</f>
        <v>Expert</v>
      </c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 t="str" cm="1">
        <f t="array" ref="M1260">_xlfn.IFS(L1260="Retirement","Voluntary",L1260="Resignation","Voluntary",L1260="Layoff","InVoluntary")</f>
        <v>Voluntary</v>
      </c>
      <c r="N1260" s="4" t="s">
        <v>26</v>
      </c>
      <c r="O1260" s="41"/>
      <c r="P1260">
        <v>1</v>
      </c>
      <c r="Q1260" t="s">
        <v>173</v>
      </c>
    </row>
    <row r="1261" spans="1:17" x14ac:dyDescent="0.35">
      <c r="A1261" s="4">
        <v>7086</v>
      </c>
      <c r="B1261" s="5">
        <v>36865</v>
      </c>
      <c r="C1261" s="5">
        <v>43838</v>
      </c>
      <c r="D1261" s="4">
        <v>20</v>
      </c>
      <c r="E1261" s="6" t="str" cm="1">
        <f t="array" ref="E1261">_xlfn.IFS(D1261&lt;=5,"Newcomer",AND(D1261&gt;=6,D1261&lt;=10),"Proficient",D1261&gt;10,"Expert")</f>
        <v>Expert</v>
      </c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 t="str" cm="1">
        <f t="array" ref="M1261">_xlfn.IFS(L1261="Retirement","Voluntary",L1261="Resignation","Voluntary",L1261="Layoff","InVoluntary")</f>
        <v>Voluntary</v>
      </c>
      <c r="N1261" s="4" t="s">
        <v>26</v>
      </c>
      <c r="O1261" s="41"/>
      <c r="P1261">
        <v>1</v>
      </c>
      <c r="Q1261" t="s">
        <v>173</v>
      </c>
    </row>
    <row r="1262" spans="1:17" x14ac:dyDescent="0.35">
      <c r="A1262" s="4">
        <v>7088</v>
      </c>
      <c r="B1262" s="5">
        <v>40069</v>
      </c>
      <c r="C1262" s="5">
        <v>43954</v>
      </c>
      <c r="D1262" s="4">
        <v>11</v>
      </c>
      <c r="E1262" s="6" t="str" cm="1">
        <f t="array" ref="E1262">_xlfn.IFS(D1262&lt;=5,"Newcomer",AND(D1262&gt;=6,D1262&lt;=10),"Proficient",D1262&gt;10,"Expert")</f>
        <v>Expert</v>
      </c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 t="str" cm="1">
        <f t="array" ref="M1262">_xlfn.IFS(L1262="Retirement","Voluntary",L1262="Resignation","Voluntary",L1262="Layoff","InVoluntary")</f>
        <v>Voluntary</v>
      </c>
      <c r="N1262" s="4" t="s">
        <v>26</v>
      </c>
      <c r="O1262" s="41"/>
      <c r="P1262">
        <v>1</v>
      </c>
      <c r="Q1262" t="s">
        <v>173</v>
      </c>
    </row>
    <row r="1263" spans="1:17" x14ac:dyDescent="0.35">
      <c r="A1263" s="4">
        <v>7089</v>
      </c>
      <c r="B1263" s="5">
        <v>33539</v>
      </c>
      <c r="C1263" s="5">
        <v>43868</v>
      </c>
      <c r="D1263" s="4">
        <v>29</v>
      </c>
      <c r="E1263" s="6" t="str" cm="1">
        <f t="array" ref="E1263">_xlfn.IFS(D1263&lt;=5,"Newcomer",AND(D1263&gt;=6,D1263&lt;=10),"Proficient",D1263&gt;10,"Expert")</f>
        <v>Expert</v>
      </c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 t="str" cm="1">
        <f t="array" ref="M1263">_xlfn.IFS(L1263="Retirement","Voluntary",L1263="Resignation","Voluntary",L1263="Layoff","InVoluntary")</f>
        <v>Voluntary</v>
      </c>
      <c r="N1263" s="4" t="s">
        <v>26</v>
      </c>
      <c r="O1263" s="41"/>
      <c r="P1263">
        <v>1</v>
      </c>
      <c r="Q1263" t="s">
        <v>173</v>
      </c>
    </row>
    <row r="1264" spans="1:17" x14ac:dyDescent="0.35">
      <c r="A1264" s="4">
        <v>7091</v>
      </c>
      <c r="B1264" s="5">
        <v>36605</v>
      </c>
      <c r="C1264" s="5">
        <v>43947</v>
      </c>
      <c r="D1264" s="4">
        <v>20</v>
      </c>
      <c r="E1264" s="6" t="str" cm="1">
        <f t="array" ref="E1264">_xlfn.IFS(D1264&lt;=5,"Newcomer",AND(D1264&gt;=6,D1264&lt;=10),"Proficient",D1264&gt;10,"Expert")</f>
        <v>Expert</v>
      </c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 t="str" cm="1">
        <f t="array" ref="M1264">_xlfn.IFS(L1264="Retirement","Voluntary",L1264="Resignation","Voluntary",L1264="Layoff","InVoluntary")</f>
        <v>Voluntary</v>
      </c>
      <c r="N1264" s="4" t="s">
        <v>26</v>
      </c>
      <c r="O1264" s="41"/>
      <c r="P1264">
        <v>1</v>
      </c>
      <c r="Q1264" t="s">
        <v>173</v>
      </c>
    </row>
    <row r="1265" spans="1:17" x14ac:dyDescent="0.35">
      <c r="A1265" s="4">
        <v>7093</v>
      </c>
      <c r="B1265" s="5">
        <v>40474</v>
      </c>
      <c r="C1265" s="5">
        <v>43985</v>
      </c>
      <c r="D1265" s="4">
        <v>10</v>
      </c>
      <c r="E1265" s="6" t="str" cm="1">
        <f t="array" ref="E1265">_xlfn.IFS(D1265&lt;=5,"Newcomer",AND(D1265&gt;=6,D1265&lt;=10),"Proficient",D1265&gt;10,"Expert")</f>
        <v>Proficient</v>
      </c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 t="str" cm="1">
        <f t="array" ref="M1265">_xlfn.IFS(L1265="Retirement","Voluntary",L1265="Resignation","Voluntary",L1265="Layoff","InVoluntary")</f>
        <v>Voluntary</v>
      </c>
      <c r="N1265" s="4" t="s">
        <v>26</v>
      </c>
      <c r="O1265" s="41"/>
      <c r="P1265">
        <v>1</v>
      </c>
      <c r="Q1265" t="s">
        <v>173</v>
      </c>
    </row>
    <row r="1266" spans="1:17" x14ac:dyDescent="0.35">
      <c r="A1266" s="4">
        <v>7094</v>
      </c>
      <c r="B1266" s="5">
        <v>33940</v>
      </c>
      <c r="C1266" s="5">
        <v>43885</v>
      </c>
      <c r="D1266" s="4">
        <v>28</v>
      </c>
      <c r="E1266" s="6" t="str" cm="1">
        <f t="array" ref="E1266">_xlfn.IFS(D1266&lt;=5,"Newcomer",AND(D1266&gt;=6,D1266&lt;=10),"Proficient",D1266&gt;10,"Expert")</f>
        <v>Expert</v>
      </c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 t="str" cm="1">
        <f t="array" ref="M1266">_xlfn.IFS(L1266="Retirement","Voluntary",L1266="Resignation","Voluntary",L1266="Layoff","InVoluntary")</f>
        <v>Voluntary</v>
      </c>
      <c r="N1266" s="4" t="s">
        <v>26</v>
      </c>
      <c r="O1266" s="41"/>
      <c r="P1266">
        <v>1</v>
      </c>
      <c r="Q1266" t="s">
        <v>173</v>
      </c>
    </row>
    <row r="1267" spans="1:17" x14ac:dyDescent="0.35">
      <c r="A1267" s="4">
        <v>7096</v>
      </c>
      <c r="B1267" s="5">
        <v>37869</v>
      </c>
      <c r="C1267" s="5">
        <v>43917</v>
      </c>
      <c r="D1267" s="4">
        <v>17</v>
      </c>
      <c r="E1267" s="6" t="str" cm="1">
        <f t="array" ref="E1267">_xlfn.IFS(D1267&lt;=5,"Newcomer",AND(D1267&gt;=6,D1267&lt;=10),"Proficient",D1267&gt;10,"Expert")</f>
        <v>Expert</v>
      </c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 t="str" cm="1">
        <f t="array" ref="M1267">_xlfn.IFS(L1267="Retirement","Voluntary",L1267="Resignation","Voluntary",L1267="Layoff","InVoluntary")</f>
        <v>Voluntary</v>
      </c>
      <c r="N1267" s="4" t="s">
        <v>26</v>
      </c>
      <c r="O1267" s="41"/>
      <c r="P1267">
        <v>1</v>
      </c>
      <c r="Q1267" t="s">
        <v>173</v>
      </c>
    </row>
    <row r="1268" spans="1:17" x14ac:dyDescent="0.35">
      <c r="A1268" s="4">
        <v>7100</v>
      </c>
      <c r="B1268" s="5">
        <v>37283</v>
      </c>
      <c r="C1268" s="5">
        <v>43916</v>
      </c>
      <c r="D1268" s="4">
        <v>18</v>
      </c>
      <c r="E1268" s="6" t="str" cm="1">
        <f t="array" ref="E1268">_xlfn.IFS(D1268&lt;=5,"Newcomer",AND(D1268&gt;=6,D1268&lt;=10),"Proficient",D1268&gt;10,"Expert")</f>
        <v>Expert</v>
      </c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 t="str" cm="1">
        <f t="array" ref="M1268">_xlfn.IFS(L1268="Retirement","Voluntary",L1268="Resignation","Voluntary",L1268="Layoff","InVoluntary")</f>
        <v>Voluntary</v>
      </c>
      <c r="N1268" s="4" t="s">
        <v>26</v>
      </c>
      <c r="O1268" s="41"/>
      <c r="P1268">
        <v>1</v>
      </c>
      <c r="Q1268" t="s">
        <v>173</v>
      </c>
    </row>
    <row r="1269" spans="1:17" x14ac:dyDescent="0.35">
      <c r="A1269" s="4">
        <v>7101</v>
      </c>
      <c r="B1269" s="5">
        <v>41586</v>
      </c>
      <c r="C1269" s="5">
        <v>43874</v>
      </c>
      <c r="D1269" s="4">
        <v>7</v>
      </c>
      <c r="E1269" s="6" t="str" cm="1">
        <f t="array" ref="E1269">_xlfn.IFS(D1269&lt;=5,"Newcomer",AND(D1269&gt;=6,D1269&lt;=10),"Proficient",D1269&gt;10,"Expert")</f>
        <v>Proficient</v>
      </c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 t="str" cm="1">
        <f t="array" ref="M1269">_xlfn.IFS(L1269="Retirement","Voluntary",L1269="Resignation","Voluntary",L1269="Layoff","InVoluntary")</f>
        <v>Voluntary</v>
      </c>
      <c r="N1269" s="4" t="s">
        <v>26</v>
      </c>
      <c r="O1269" s="41"/>
      <c r="P1269">
        <v>1</v>
      </c>
      <c r="Q1269" t="s">
        <v>173</v>
      </c>
    </row>
    <row r="1270" spans="1:17" x14ac:dyDescent="0.35">
      <c r="A1270" s="4">
        <v>7103</v>
      </c>
      <c r="B1270" s="5">
        <v>36177</v>
      </c>
      <c r="C1270" s="5">
        <v>44065</v>
      </c>
      <c r="D1270" s="4">
        <v>21</v>
      </c>
      <c r="E1270" s="6" t="str" cm="1">
        <f t="array" ref="E1270">_xlfn.IFS(D1270&lt;=5,"Newcomer",AND(D1270&gt;=6,D1270&lt;=10),"Proficient",D1270&gt;10,"Expert")</f>
        <v>Expert</v>
      </c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 t="str" cm="1">
        <f t="array" ref="M1270">_xlfn.IFS(L1270="Retirement","Voluntary",L1270="Resignation","Voluntary",L1270="Layoff","InVoluntary")</f>
        <v>InVoluntary</v>
      </c>
      <c r="N1270" s="4" t="s">
        <v>26</v>
      </c>
      <c r="O1270" s="41"/>
      <c r="P1270">
        <v>1</v>
      </c>
      <c r="Q1270" t="s">
        <v>174</v>
      </c>
    </row>
    <row r="1271" spans="1:17" x14ac:dyDescent="0.35">
      <c r="A1271" s="4">
        <v>7111</v>
      </c>
      <c r="B1271" s="5">
        <v>41419</v>
      </c>
      <c r="C1271" s="5">
        <v>43930</v>
      </c>
      <c r="D1271" s="4">
        <v>7</v>
      </c>
      <c r="E1271" s="6" t="str" cm="1">
        <f t="array" ref="E1271">_xlfn.IFS(D1271&lt;=5,"Newcomer",AND(D1271&gt;=6,D1271&lt;=10),"Proficient",D1271&gt;10,"Expert")</f>
        <v>Proficient</v>
      </c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 t="str" cm="1">
        <f t="array" ref="M1271">_xlfn.IFS(L1271="Retirement","Voluntary",L1271="Resignation","Voluntary",L1271="Layoff","InVoluntary")</f>
        <v>Voluntary</v>
      </c>
      <c r="N1271" s="4" t="s">
        <v>26</v>
      </c>
      <c r="O1271" s="41"/>
      <c r="P1271">
        <v>1</v>
      </c>
      <c r="Q1271" t="s">
        <v>173</v>
      </c>
    </row>
    <row r="1272" spans="1:17" x14ac:dyDescent="0.35">
      <c r="A1272" s="4">
        <v>7122</v>
      </c>
      <c r="B1272" s="5">
        <v>39359</v>
      </c>
      <c r="C1272" s="5">
        <v>44063</v>
      </c>
      <c r="D1272" s="4">
        <v>13</v>
      </c>
      <c r="E1272" s="6" t="str" cm="1">
        <f t="array" ref="E1272">_xlfn.IFS(D1272&lt;=5,"Newcomer",AND(D1272&gt;=6,D1272&lt;=10),"Proficient",D1272&gt;10,"Expert")</f>
        <v>Expert</v>
      </c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 t="str" cm="1">
        <f t="array" ref="M1272">_xlfn.IFS(L1272="Retirement","Voluntary",L1272="Resignation","Voluntary",L1272="Layoff","InVoluntary")</f>
        <v>InVoluntary</v>
      </c>
      <c r="N1272" s="4" t="s">
        <v>26</v>
      </c>
      <c r="O1272" s="41"/>
      <c r="P1272">
        <v>1</v>
      </c>
      <c r="Q1272" t="s">
        <v>174</v>
      </c>
    </row>
    <row r="1273" spans="1:17" x14ac:dyDescent="0.35">
      <c r="A1273" s="4">
        <v>7123</v>
      </c>
      <c r="B1273" s="5">
        <v>35506</v>
      </c>
      <c r="C1273" s="5">
        <v>44073</v>
      </c>
      <c r="D1273" s="4">
        <v>23</v>
      </c>
      <c r="E1273" s="6" t="str" cm="1">
        <f t="array" ref="E1273">_xlfn.IFS(D1273&lt;=5,"Newcomer",AND(D1273&gt;=6,D1273&lt;=10),"Proficient",D1273&gt;10,"Expert")</f>
        <v>Expert</v>
      </c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 t="str" cm="1">
        <f t="array" ref="M1273">_xlfn.IFS(L1273="Retirement","Voluntary",L1273="Resignation","Voluntary",L1273="Layoff","InVoluntary")</f>
        <v>Voluntary</v>
      </c>
      <c r="N1273" s="4" t="s">
        <v>26</v>
      </c>
      <c r="O1273" s="41"/>
      <c r="P1273">
        <v>1</v>
      </c>
      <c r="Q1273" t="s">
        <v>173</v>
      </c>
    </row>
    <row r="1274" spans="1:17" x14ac:dyDescent="0.35">
      <c r="A1274" s="4">
        <v>7124</v>
      </c>
      <c r="B1274" s="5">
        <v>34466</v>
      </c>
      <c r="C1274" s="5">
        <v>43866</v>
      </c>
      <c r="D1274" s="4">
        <v>26</v>
      </c>
      <c r="E1274" s="6" t="str" cm="1">
        <f t="array" ref="E1274">_xlfn.IFS(D1274&lt;=5,"Newcomer",AND(D1274&gt;=6,D1274&lt;=10),"Proficient",D1274&gt;10,"Expert")</f>
        <v>Expert</v>
      </c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 t="str" cm="1">
        <f t="array" ref="M1274">_xlfn.IFS(L1274="Retirement","Voluntary",L1274="Resignation","Voluntary",L1274="Layoff","InVoluntary")</f>
        <v>Voluntary</v>
      </c>
      <c r="N1274" s="4" t="s">
        <v>26</v>
      </c>
      <c r="O1274" s="41"/>
      <c r="P1274">
        <v>1</v>
      </c>
      <c r="Q1274" t="s">
        <v>173</v>
      </c>
    </row>
    <row r="1275" spans="1:17" x14ac:dyDescent="0.35">
      <c r="A1275" s="4">
        <v>7125</v>
      </c>
      <c r="B1275" s="5">
        <v>41083</v>
      </c>
      <c r="C1275" s="5">
        <v>44173</v>
      </c>
      <c r="D1275" s="4">
        <v>8</v>
      </c>
      <c r="E1275" s="6" t="str" cm="1">
        <f t="array" ref="E1275">_xlfn.IFS(D1275&lt;=5,"Newcomer",AND(D1275&gt;=6,D1275&lt;=10),"Proficient",D1275&gt;10,"Expert")</f>
        <v>Proficient</v>
      </c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 t="str" cm="1">
        <f t="array" ref="M1275">_xlfn.IFS(L1275="Retirement","Voluntary",L1275="Resignation","Voluntary",L1275="Layoff","InVoluntary")</f>
        <v>InVoluntary</v>
      </c>
      <c r="N1275" s="4" t="s">
        <v>26</v>
      </c>
      <c r="O1275" s="41"/>
      <c r="P1275">
        <v>1</v>
      </c>
      <c r="Q1275" t="s">
        <v>174</v>
      </c>
    </row>
    <row r="1276" spans="1:17" x14ac:dyDescent="0.35">
      <c r="A1276" s="4">
        <v>7127</v>
      </c>
      <c r="B1276" s="5">
        <v>38386</v>
      </c>
      <c r="C1276" s="5">
        <v>43832</v>
      </c>
      <c r="D1276" s="4">
        <v>15</v>
      </c>
      <c r="E1276" s="6" t="str" cm="1">
        <f t="array" ref="E1276">_xlfn.IFS(D1276&lt;=5,"Newcomer",AND(D1276&gt;=6,D1276&lt;=10),"Proficient",D1276&gt;10,"Expert")</f>
        <v>Expert</v>
      </c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 t="str" cm="1">
        <f t="array" ref="M1276">_xlfn.IFS(L1276="Retirement","Voluntary",L1276="Resignation","Voluntary",L1276="Layoff","InVoluntary")</f>
        <v>Voluntary</v>
      </c>
      <c r="N1276" s="4" t="s">
        <v>26</v>
      </c>
      <c r="O1276" s="41"/>
      <c r="P1276">
        <v>1</v>
      </c>
      <c r="Q1276" t="s">
        <v>173</v>
      </c>
    </row>
    <row r="1277" spans="1:17" x14ac:dyDescent="0.35">
      <c r="A1277" s="4">
        <v>7128</v>
      </c>
      <c r="B1277" s="5">
        <v>35556</v>
      </c>
      <c r="C1277" s="5">
        <v>44003</v>
      </c>
      <c r="D1277" s="4">
        <v>23</v>
      </c>
      <c r="E1277" s="6" t="str" cm="1">
        <f t="array" ref="E1277">_xlfn.IFS(D1277&lt;=5,"Newcomer",AND(D1277&gt;=6,D1277&lt;=10),"Proficient",D1277&gt;10,"Expert")</f>
        <v>Expert</v>
      </c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 t="str" cm="1">
        <f t="array" ref="M1277">_xlfn.IFS(L1277="Retirement","Voluntary",L1277="Resignation","Voluntary",L1277="Layoff","InVoluntary")</f>
        <v>Voluntary</v>
      </c>
      <c r="N1277" s="4" t="s">
        <v>26</v>
      </c>
      <c r="O1277" s="41"/>
      <c r="P1277">
        <v>1</v>
      </c>
      <c r="Q1277" t="s">
        <v>173</v>
      </c>
    </row>
    <row r="1278" spans="1:17" x14ac:dyDescent="0.35">
      <c r="A1278" s="4">
        <v>7129</v>
      </c>
      <c r="B1278" s="5">
        <v>38296</v>
      </c>
      <c r="C1278" s="5">
        <v>43889</v>
      </c>
      <c r="D1278" s="4">
        <v>16</v>
      </c>
      <c r="E1278" s="6" t="str" cm="1">
        <f t="array" ref="E1278">_xlfn.IFS(D1278&lt;=5,"Newcomer",AND(D1278&gt;=6,D1278&lt;=10),"Proficient",D1278&gt;10,"Expert")</f>
        <v>Expert</v>
      </c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 t="str" cm="1">
        <f t="array" ref="M1278">_xlfn.IFS(L1278="Retirement","Voluntary",L1278="Resignation","Voluntary",L1278="Layoff","InVoluntary")</f>
        <v>Voluntary</v>
      </c>
      <c r="N1278" s="4" t="s">
        <v>26</v>
      </c>
      <c r="O1278" s="41"/>
      <c r="P1278">
        <v>1</v>
      </c>
      <c r="Q1278" t="s">
        <v>173</v>
      </c>
    </row>
    <row r="1279" spans="1:17" x14ac:dyDescent="0.35">
      <c r="A1279" s="4">
        <v>7130</v>
      </c>
      <c r="B1279" s="5">
        <v>38489</v>
      </c>
      <c r="C1279" s="5">
        <v>43891</v>
      </c>
      <c r="D1279" s="4">
        <v>15</v>
      </c>
      <c r="E1279" s="6" t="str" cm="1">
        <f t="array" ref="E1279">_xlfn.IFS(D1279&lt;=5,"Newcomer",AND(D1279&gt;=6,D1279&lt;=10),"Proficient",D1279&gt;10,"Expert")</f>
        <v>Expert</v>
      </c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 t="str" cm="1">
        <f t="array" ref="M1279">_xlfn.IFS(L1279="Retirement","Voluntary",L1279="Resignation","Voluntary",L1279="Layoff","InVoluntary")</f>
        <v>Voluntary</v>
      </c>
      <c r="N1279" s="4" t="s">
        <v>26</v>
      </c>
      <c r="O1279" s="41"/>
      <c r="P1279">
        <v>1</v>
      </c>
      <c r="Q1279" t="s">
        <v>173</v>
      </c>
    </row>
    <row r="1280" spans="1:17" x14ac:dyDescent="0.35">
      <c r="A1280" s="4">
        <v>7131</v>
      </c>
      <c r="B1280" s="5">
        <v>36831</v>
      </c>
      <c r="C1280" s="5">
        <v>44160</v>
      </c>
      <c r="D1280" s="4">
        <v>20</v>
      </c>
      <c r="E1280" s="6" t="str" cm="1">
        <f t="array" ref="E1280">_xlfn.IFS(D1280&lt;=5,"Newcomer",AND(D1280&gt;=6,D1280&lt;=10),"Proficient",D1280&gt;10,"Expert")</f>
        <v>Expert</v>
      </c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 t="str" cm="1">
        <f t="array" ref="M1280">_xlfn.IFS(L1280="Retirement","Voluntary",L1280="Resignation","Voluntary",L1280="Layoff","InVoluntary")</f>
        <v>InVoluntary</v>
      </c>
      <c r="N1280" s="4" t="s">
        <v>26</v>
      </c>
      <c r="O1280" s="41"/>
      <c r="P1280">
        <v>1</v>
      </c>
      <c r="Q1280" t="s">
        <v>174</v>
      </c>
    </row>
    <row r="1281" spans="1:17" x14ac:dyDescent="0.35">
      <c r="A1281" s="4">
        <v>7135</v>
      </c>
      <c r="B1281" s="5">
        <v>37450</v>
      </c>
      <c r="C1281" s="5">
        <v>44114</v>
      </c>
      <c r="D1281" s="4">
        <v>18</v>
      </c>
      <c r="E1281" s="6" t="str" cm="1">
        <f t="array" ref="E1281">_xlfn.IFS(D1281&lt;=5,"Newcomer",AND(D1281&gt;=6,D1281&lt;=10),"Proficient",D1281&gt;10,"Expert")</f>
        <v>Expert</v>
      </c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 t="str" cm="1">
        <f t="array" ref="M1281">_xlfn.IFS(L1281="Retirement","Voluntary",L1281="Resignation","Voluntary",L1281="Layoff","InVoluntary")</f>
        <v>Voluntary</v>
      </c>
      <c r="N1281" s="4" t="s">
        <v>26</v>
      </c>
      <c r="O1281" s="41"/>
      <c r="P1281">
        <v>1</v>
      </c>
      <c r="Q1281" t="s">
        <v>173</v>
      </c>
    </row>
    <row r="1282" spans="1:17" x14ac:dyDescent="0.35">
      <c r="A1282" s="4">
        <v>7136</v>
      </c>
      <c r="B1282" s="5">
        <v>37829</v>
      </c>
      <c r="C1282" s="5">
        <v>43936</v>
      </c>
      <c r="D1282" s="4">
        <v>17</v>
      </c>
      <c r="E1282" s="6" t="str" cm="1">
        <f t="array" ref="E1282">_xlfn.IFS(D1282&lt;=5,"Newcomer",AND(D1282&gt;=6,D1282&lt;=10),"Proficient",D1282&gt;10,"Expert")</f>
        <v>Expert</v>
      </c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 t="str" cm="1">
        <f t="array" ref="M1282">_xlfn.IFS(L1282="Retirement","Voluntary",L1282="Resignation","Voluntary",L1282="Layoff","InVoluntary")</f>
        <v>Voluntary</v>
      </c>
      <c r="N1282" s="4" t="s">
        <v>26</v>
      </c>
      <c r="O1282" s="41"/>
      <c r="P1282">
        <v>1</v>
      </c>
      <c r="Q1282" t="s">
        <v>173</v>
      </c>
    </row>
    <row r="1283" spans="1:17" x14ac:dyDescent="0.35">
      <c r="A1283" s="4">
        <v>7137</v>
      </c>
      <c r="B1283" s="5">
        <v>39437</v>
      </c>
      <c r="C1283" s="5">
        <v>43841</v>
      </c>
      <c r="D1283" s="4">
        <v>13</v>
      </c>
      <c r="E1283" s="6" t="str" cm="1">
        <f t="array" ref="E1283">_xlfn.IFS(D1283&lt;=5,"Newcomer",AND(D1283&gt;=6,D1283&lt;=10),"Proficient",D1283&gt;10,"Expert")</f>
        <v>Expert</v>
      </c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 t="str" cm="1">
        <f t="array" ref="M1283">_xlfn.IFS(L1283="Retirement","Voluntary",L1283="Resignation","Voluntary",L1283="Layoff","InVoluntary")</f>
        <v>Voluntary</v>
      </c>
      <c r="N1283" s="4" t="s">
        <v>26</v>
      </c>
      <c r="O1283" s="41"/>
      <c r="P1283">
        <v>1</v>
      </c>
      <c r="Q1283" t="s">
        <v>173</v>
      </c>
    </row>
    <row r="1284" spans="1:17" x14ac:dyDescent="0.35">
      <c r="A1284" s="4">
        <v>7138</v>
      </c>
      <c r="B1284" s="5">
        <v>33783</v>
      </c>
      <c r="C1284" s="5">
        <v>44054</v>
      </c>
      <c r="D1284" s="4">
        <v>28</v>
      </c>
      <c r="E1284" s="6" t="str" cm="1">
        <f t="array" ref="E1284">_xlfn.IFS(D1284&lt;=5,"Newcomer",AND(D1284&gt;=6,D1284&lt;=10),"Proficient",D1284&gt;10,"Expert")</f>
        <v>Expert</v>
      </c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 t="str" cm="1">
        <f t="array" ref="M1284">_xlfn.IFS(L1284="Retirement","Voluntary",L1284="Resignation","Voluntary",L1284="Layoff","InVoluntary")</f>
        <v>Voluntary</v>
      </c>
      <c r="N1284" s="4" t="s">
        <v>26</v>
      </c>
      <c r="O1284" s="41"/>
      <c r="P1284">
        <v>1</v>
      </c>
      <c r="Q1284" t="s">
        <v>173</v>
      </c>
    </row>
    <row r="1285" spans="1:17" x14ac:dyDescent="0.35">
      <c r="A1285" s="4">
        <v>7140</v>
      </c>
      <c r="B1285" s="5">
        <v>40510</v>
      </c>
      <c r="C1285" s="5">
        <v>44091</v>
      </c>
      <c r="D1285" s="4">
        <v>10</v>
      </c>
      <c r="E1285" s="6" t="str" cm="1">
        <f t="array" ref="E1285">_xlfn.IFS(D1285&lt;=5,"Newcomer",AND(D1285&gt;=6,D1285&lt;=10),"Proficient",D1285&gt;10,"Expert")</f>
        <v>Proficient</v>
      </c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 t="str" cm="1">
        <f t="array" ref="M1285">_xlfn.IFS(L1285="Retirement","Voluntary",L1285="Resignation","Voluntary",L1285="Layoff","InVoluntary")</f>
        <v>Voluntary</v>
      </c>
      <c r="N1285" s="4" t="s">
        <v>26</v>
      </c>
      <c r="O1285" s="41"/>
      <c r="P1285">
        <v>1</v>
      </c>
      <c r="Q1285" t="s">
        <v>173</v>
      </c>
    </row>
    <row r="1286" spans="1:17" x14ac:dyDescent="0.35">
      <c r="A1286" s="4">
        <v>7142</v>
      </c>
      <c r="B1286" s="5">
        <v>32884</v>
      </c>
      <c r="C1286" s="5">
        <v>43869</v>
      </c>
      <c r="D1286" s="4">
        <v>30</v>
      </c>
      <c r="E1286" s="6" t="str" cm="1">
        <f t="array" ref="E1286">_xlfn.IFS(D1286&lt;=5,"Newcomer",AND(D1286&gt;=6,D1286&lt;=10),"Proficient",D1286&gt;10,"Expert")</f>
        <v>Expert</v>
      </c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 t="str" cm="1">
        <f t="array" ref="M1286">_xlfn.IFS(L1286="Retirement","Voluntary",L1286="Resignation","Voluntary",L1286="Layoff","InVoluntary")</f>
        <v>InVoluntary</v>
      </c>
      <c r="N1286" s="4" t="s">
        <v>26</v>
      </c>
      <c r="O1286" s="41"/>
      <c r="P1286">
        <v>1</v>
      </c>
      <c r="Q1286" t="s">
        <v>174</v>
      </c>
    </row>
    <row r="1287" spans="1:17" x14ac:dyDescent="0.35">
      <c r="A1287" s="4">
        <v>7146</v>
      </c>
      <c r="B1287" s="5">
        <v>33674</v>
      </c>
      <c r="C1287" s="5">
        <v>43852</v>
      </c>
      <c r="D1287" s="4">
        <v>28</v>
      </c>
      <c r="E1287" s="6" t="str" cm="1">
        <f t="array" ref="E1287">_xlfn.IFS(D1287&lt;=5,"Newcomer",AND(D1287&gt;=6,D1287&lt;=10),"Proficient",D1287&gt;10,"Expert")</f>
        <v>Expert</v>
      </c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 t="str" cm="1">
        <f t="array" ref="M1287">_xlfn.IFS(L1287="Retirement","Voluntary",L1287="Resignation","Voluntary",L1287="Layoff","InVoluntary")</f>
        <v>InVoluntary</v>
      </c>
      <c r="N1287" s="4" t="s">
        <v>26</v>
      </c>
      <c r="O1287" s="41"/>
      <c r="P1287">
        <v>1</v>
      </c>
      <c r="Q1287" t="s">
        <v>174</v>
      </c>
    </row>
    <row r="1288" spans="1:17" x14ac:dyDescent="0.35">
      <c r="A1288" s="4">
        <v>7175</v>
      </c>
      <c r="B1288" s="5">
        <v>36912</v>
      </c>
      <c r="C1288" s="5">
        <v>44073</v>
      </c>
      <c r="D1288" s="4">
        <v>19</v>
      </c>
      <c r="E1288" s="6" t="str" cm="1">
        <f t="array" ref="E1288">_xlfn.IFS(D1288&lt;=5,"Newcomer",AND(D1288&gt;=6,D1288&lt;=10),"Proficient",D1288&gt;10,"Expert")</f>
        <v>Expert</v>
      </c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 t="str" cm="1">
        <f t="array" ref="M1288">_xlfn.IFS(L1288="Retirement","Voluntary",L1288="Resignation","Voluntary",L1288="Layoff","InVoluntary")</f>
        <v>Voluntary</v>
      </c>
      <c r="N1288" s="4" t="s">
        <v>26</v>
      </c>
      <c r="O1288" s="41"/>
      <c r="P1288">
        <v>1</v>
      </c>
      <c r="Q1288" t="s">
        <v>173</v>
      </c>
    </row>
    <row r="1289" spans="1:17" x14ac:dyDescent="0.35">
      <c r="A1289" s="4">
        <v>7194</v>
      </c>
      <c r="B1289" s="5">
        <v>38785</v>
      </c>
      <c r="C1289" s="5">
        <v>43955</v>
      </c>
      <c r="D1289" s="4">
        <v>14</v>
      </c>
      <c r="E1289" s="6" t="str" cm="1">
        <f t="array" ref="E1289">_xlfn.IFS(D1289&lt;=5,"Newcomer",AND(D1289&gt;=6,D1289&lt;=10),"Proficient",D1289&gt;10,"Expert")</f>
        <v>Expert</v>
      </c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 t="str" cm="1">
        <f t="array" ref="M1289">_xlfn.IFS(L1289="Retirement","Voluntary",L1289="Resignation","Voluntary",L1289="Layoff","InVoluntary")</f>
        <v>InVoluntary</v>
      </c>
      <c r="N1289" s="4" t="s">
        <v>26</v>
      </c>
      <c r="O1289" s="41"/>
      <c r="P1289">
        <v>1</v>
      </c>
      <c r="Q1289" t="s">
        <v>174</v>
      </c>
    </row>
    <row r="1290" spans="1:17" x14ac:dyDescent="0.35">
      <c r="A1290" s="4">
        <v>7207</v>
      </c>
      <c r="B1290" s="5">
        <v>33340</v>
      </c>
      <c r="C1290" s="5">
        <v>43895</v>
      </c>
      <c r="D1290" s="4">
        <v>29</v>
      </c>
      <c r="E1290" s="6" t="str" cm="1">
        <f t="array" ref="E1290">_xlfn.IFS(D1290&lt;=5,"Newcomer",AND(D1290&gt;=6,D1290&lt;=10),"Proficient",D1290&gt;10,"Expert")</f>
        <v>Expert</v>
      </c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 t="str" cm="1">
        <f t="array" ref="M1290">_xlfn.IFS(L1290="Retirement","Voluntary",L1290="Resignation","Voluntary",L1290="Layoff","InVoluntary")</f>
        <v>Voluntary</v>
      </c>
      <c r="N1290" s="4" t="s">
        <v>26</v>
      </c>
      <c r="O1290" s="41"/>
      <c r="P1290">
        <v>1</v>
      </c>
      <c r="Q1290" t="s">
        <v>173</v>
      </c>
    </row>
    <row r="1291" spans="1:17" x14ac:dyDescent="0.35">
      <c r="A1291" s="4">
        <v>7218</v>
      </c>
      <c r="B1291" s="5">
        <v>41165</v>
      </c>
      <c r="C1291" s="5">
        <v>43932</v>
      </c>
      <c r="D1291" s="4">
        <v>8</v>
      </c>
      <c r="E1291" s="6" t="str" cm="1">
        <f t="array" ref="E1291">_xlfn.IFS(D1291&lt;=5,"Newcomer",AND(D1291&gt;=6,D1291&lt;=10),"Proficient",D1291&gt;10,"Expert")</f>
        <v>Proficient</v>
      </c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 t="str" cm="1">
        <f t="array" ref="M1291">_xlfn.IFS(L1291="Retirement","Voluntary",L1291="Resignation","Voluntary",L1291="Layoff","InVoluntary")</f>
        <v>InVoluntary</v>
      </c>
      <c r="N1291" s="4" t="s">
        <v>26</v>
      </c>
      <c r="O1291" s="41"/>
      <c r="P1291">
        <v>1</v>
      </c>
      <c r="Q1291" t="s">
        <v>174</v>
      </c>
    </row>
    <row r="1292" spans="1:17" x14ac:dyDescent="0.35">
      <c r="A1292" s="4">
        <v>7219</v>
      </c>
      <c r="B1292" s="5">
        <v>36847</v>
      </c>
      <c r="C1292" s="5">
        <v>44025</v>
      </c>
      <c r="D1292" s="4">
        <v>20</v>
      </c>
      <c r="E1292" s="6" t="str" cm="1">
        <f t="array" ref="E1292">_xlfn.IFS(D1292&lt;=5,"Newcomer",AND(D1292&gt;=6,D1292&lt;=10),"Proficient",D1292&gt;10,"Expert")</f>
        <v>Expert</v>
      </c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 t="str" cm="1">
        <f t="array" ref="M1292">_xlfn.IFS(L1292="Retirement","Voluntary",L1292="Resignation","Voluntary",L1292="Layoff","InVoluntary")</f>
        <v>InVoluntary</v>
      </c>
      <c r="N1292" s="4" t="s">
        <v>26</v>
      </c>
      <c r="O1292" s="41"/>
      <c r="P1292">
        <v>1</v>
      </c>
      <c r="Q1292" t="s">
        <v>174</v>
      </c>
    </row>
    <row r="1293" spans="1:17" x14ac:dyDescent="0.35">
      <c r="A1293" s="4">
        <v>7247</v>
      </c>
      <c r="B1293" s="5">
        <v>35394</v>
      </c>
      <c r="C1293" s="5">
        <v>44124</v>
      </c>
      <c r="D1293" s="4">
        <v>24</v>
      </c>
      <c r="E1293" s="6" t="str" cm="1">
        <f t="array" ref="E1293">_xlfn.IFS(D1293&lt;=5,"Newcomer",AND(D1293&gt;=6,D1293&lt;=10),"Proficient",D1293&gt;10,"Expert")</f>
        <v>Expert</v>
      </c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 t="str" cm="1">
        <f t="array" ref="M1293">_xlfn.IFS(L1293="Retirement","Voluntary",L1293="Resignation","Voluntary",L1293="Layoff","InVoluntary")</f>
        <v>Voluntary</v>
      </c>
      <c r="N1293" s="4" t="s">
        <v>26</v>
      </c>
      <c r="O1293" s="41"/>
      <c r="P1293">
        <v>1</v>
      </c>
      <c r="Q1293" t="s">
        <v>173</v>
      </c>
    </row>
    <row r="1294" spans="1:17" x14ac:dyDescent="0.35">
      <c r="A1294" s="4">
        <v>7249</v>
      </c>
      <c r="B1294" s="5">
        <v>36549</v>
      </c>
      <c r="C1294" s="5">
        <v>44154</v>
      </c>
      <c r="D1294" s="4">
        <v>20</v>
      </c>
      <c r="E1294" s="6" t="str" cm="1">
        <f t="array" ref="E1294">_xlfn.IFS(D1294&lt;=5,"Newcomer",AND(D1294&gt;=6,D1294&lt;=10),"Proficient",D1294&gt;10,"Expert")</f>
        <v>Expert</v>
      </c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 t="str" cm="1">
        <f t="array" ref="M1294">_xlfn.IFS(L1294="Retirement","Voluntary",L1294="Resignation","Voluntary",L1294="Layoff","InVoluntary")</f>
        <v>InVoluntary</v>
      </c>
      <c r="N1294" s="4" t="s">
        <v>26</v>
      </c>
      <c r="O1294" s="41"/>
      <c r="P1294">
        <v>1</v>
      </c>
      <c r="Q1294" t="s">
        <v>174</v>
      </c>
    </row>
    <row r="1295" spans="1:17" x14ac:dyDescent="0.35">
      <c r="A1295" s="4">
        <v>7251</v>
      </c>
      <c r="B1295" s="5">
        <v>35443</v>
      </c>
      <c r="C1295" s="5">
        <v>43954</v>
      </c>
      <c r="D1295" s="4">
        <v>23</v>
      </c>
      <c r="E1295" s="6" t="str" cm="1">
        <f t="array" ref="E1295">_xlfn.IFS(D1295&lt;=5,"Newcomer",AND(D1295&gt;=6,D1295&lt;=10),"Proficient",D1295&gt;10,"Expert")</f>
        <v>Expert</v>
      </c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 t="str" cm="1">
        <f t="array" ref="M1295">_xlfn.IFS(L1295="Retirement","Voluntary",L1295="Resignation","Voluntary",L1295="Layoff","InVoluntary")</f>
        <v>InVoluntary</v>
      </c>
      <c r="N1295" s="4" t="s">
        <v>26</v>
      </c>
      <c r="O1295" s="41"/>
      <c r="P1295">
        <v>1</v>
      </c>
      <c r="Q1295" t="s">
        <v>174</v>
      </c>
    </row>
    <row r="1296" spans="1:17" x14ac:dyDescent="0.35">
      <c r="A1296" s="4">
        <v>7253</v>
      </c>
      <c r="B1296" s="5">
        <v>36002</v>
      </c>
      <c r="C1296" s="5">
        <v>44168</v>
      </c>
      <c r="D1296" s="4">
        <v>22</v>
      </c>
      <c r="E1296" s="6" t="str" cm="1">
        <f t="array" ref="E1296">_xlfn.IFS(D1296&lt;=5,"Newcomer",AND(D1296&gt;=6,D1296&lt;=10),"Proficient",D1296&gt;10,"Expert")</f>
        <v>Expert</v>
      </c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 t="str" cm="1">
        <f t="array" ref="M1296">_xlfn.IFS(L1296="Retirement","Voluntary",L1296="Resignation","Voluntary",L1296="Layoff","InVoluntary")</f>
        <v>Voluntary</v>
      </c>
      <c r="N1296" s="4" t="s">
        <v>26</v>
      </c>
      <c r="O1296" s="41"/>
      <c r="P1296">
        <v>1</v>
      </c>
      <c r="Q1296" t="s">
        <v>173</v>
      </c>
    </row>
    <row r="1297" spans="1:17" x14ac:dyDescent="0.35">
      <c r="A1297" s="4">
        <v>7258</v>
      </c>
      <c r="B1297" s="5">
        <v>40937</v>
      </c>
      <c r="C1297" s="5">
        <v>43924</v>
      </c>
      <c r="D1297" s="4">
        <v>8</v>
      </c>
      <c r="E1297" s="6" t="str" cm="1">
        <f t="array" ref="E1297">_xlfn.IFS(D1297&lt;=5,"Newcomer",AND(D1297&gt;=6,D1297&lt;=10),"Proficient",D1297&gt;10,"Expert")</f>
        <v>Proficient</v>
      </c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 t="str" cm="1">
        <f t="array" ref="M1297">_xlfn.IFS(L1297="Retirement","Voluntary",L1297="Resignation","Voluntary",L1297="Layoff","InVoluntary")</f>
        <v>Voluntary</v>
      </c>
      <c r="N1297" s="4" t="s">
        <v>26</v>
      </c>
      <c r="O1297" s="41"/>
      <c r="P1297">
        <v>1</v>
      </c>
      <c r="Q1297" t="s">
        <v>173</v>
      </c>
    </row>
    <row r="1298" spans="1:17" x14ac:dyDescent="0.35">
      <c r="A1298" s="4">
        <v>7260</v>
      </c>
      <c r="B1298" s="5">
        <v>41150</v>
      </c>
      <c r="C1298" s="5">
        <v>43887</v>
      </c>
      <c r="D1298" s="4">
        <v>8</v>
      </c>
      <c r="E1298" s="6" t="str" cm="1">
        <f t="array" ref="E1298">_xlfn.IFS(D1298&lt;=5,"Newcomer",AND(D1298&gt;=6,D1298&lt;=10),"Proficient",D1298&gt;10,"Expert")</f>
        <v>Proficient</v>
      </c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 t="str" cm="1">
        <f t="array" ref="M1298">_xlfn.IFS(L1298="Retirement","Voluntary",L1298="Resignation","Voluntary",L1298="Layoff","InVoluntary")</f>
        <v>InVoluntary</v>
      </c>
      <c r="N1298" s="4" t="s">
        <v>26</v>
      </c>
      <c r="O1298" s="41"/>
      <c r="P1298">
        <v>1</v>
      </c>
      <c r="Q1298" t="s">
        <v>174</v>
      </c>
    </row>
    <row r="1299" spans="1:17" x14ac:dyDescent="0.35">
      <c r="A1299" s="4">
        <v>7262</v>
      </c>
      <c r="B1299" s="5">
        <v>40043</v>
      </c>
      <c r="C1299" s="5">
        <v>43888</v>
      </c>
      <c r="D1299" s="4">
        <v>11</v>
      </c>
      <c r="E1299" s="6" t="str" cm="1">
        <f t="array" ref="E1299">_xlfn.IFS(D1299&lt;=5,"Newcomer",AND(D1299&gt;=6,D1299&lt;=10),"Proficient",D1299&gt;10,"Expert")</f>
        <v>Expert</v>
      </c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 t="str" cm="1">
        <f t="array" ref="M1299">_xlfn.IFS(L1299="Retirement","Voluntary",L1299="Resignation","Voluntary",L1299="Layoff","InVoluntary")</f>
        <v>Voluntary</v>
      </c>
      <c r="N1299" s="4" t="s">
        <v>26</v>
      </c>
      <c r="O1299" s="41"/>
      <c r="P1299">
        <v>1</v>
      </c>
      <c r="Q1299" t="s">
        <v>173</v>
      </c>
    </row>
    <row r="1300" spans="1:17" x14ac:dyDescent="0.35">
      <c r="A1300" s="4">
        <v>7263</v>
      </c>
      <c r="B1300" s="5">
        <v>39944</v>
      </c>
      <c r="C1300" s="5">
        <v>44182</v>
      </c>
      <c r="D1300" s="4">
        <v>11</v>
      </c>
      <c r="E1300" s="6" t="str" cm="1">
        <f t="array" ref="E1300">_xlfn.IFS(D1300&lt;=5,"Newcomer",AND(D1300&gt;=6,D1300&lt;=10),"Proficient",D1300&gt;10,"Expert")</f>
        <v>Expert</v>
      </c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 t="str" cm="1">
        <f t="array" ref="M1300">_xlfn.IFS(L1300="Retirement","Voluntary",L1300="Resignation","Voluntary",L1300="Layoff","InVoluntary")</f>
        <v>Voluntary</v>
      </c>
      <c r="N1300" s="4" t="s">
        <v>26</v>
      </c>
      <c r="O1300" s="41"/>
      <c r="P1300">
        <v>1</v>
      </c>
      <c r="Q1300" t="s">
        <v>173</v>
      </c>
    </row>
    <row r="1301" spans="1:17" x14ac:dyDescent="0.35">
      <c r="A1301" s="4">
        <v>7265</v>
      </c>
      <c r="B1301" s="5">
        <v>41105</v>
      </c>
      <c r="C1301" s="5">
        <v>43935</v>
      </c>
      <c r="D1301" s="4">
        <v>8</v>
      </c>
      <c r="E1301" s="6" t="str" cm="1">
        <f t="array" ref="E1301">_xlfn.IFS(D1301&lt;=5,"Newcomer",AND(D1301&gt;=6,D1301&lt;=10),"Proficient",D1301&gt;10,"Expert")</f>
        <v>Proficient</v>
      </c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 t="str" cm="1">
        <f t="array" ref="M1301">_xlfn.IFS(L1301="Retirement","Voluntary",L1301="Resignation","Voluntary",L1301="Layoff","InVoluntary")</f>
        <v>Voluntary</v>
      </c>
      <c r="N1301" s="4" t="s">
        <v>26</v>
      </c>
      <c r="O1301" s="41"/>
      <c r="P1301">
        <v>1</v>
      </c>
      <c r="Q1301" t="s">
        <v>173</v>
      </c>
    </row>
    <row r="1302" spans="1:17" x14ac:dyDescent="0.35">
      <c r="A1302" s="4">
        <v>7268</v>
      </c>
      <c r="B1302" s="5">
        <v>32937</v>
      </c>
      <c r="C1302" s="5">
        <v>43957</v>
      </c>
      <c r="D1302" s="4">
        <v>30</v>
      </c>
      <c r="E1302" s="6" t="str" cm="1">
        <f t="array" ref="E1302">_xlfn.IFS(D1302&lt;=5,"Newcomer",AND(D1302&gt;=6,D1302&lt;=10),"Proficient",D1302&gt;10,"Expert")</f>
        <v>Expert</v>
      </c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 t="str" cm="1">
        <f t="array" ref="M1302">_xlfn.IFS(L1302="Retirement","Voluntary",L1302="Resignation","Voluntary",L1302="Layoff","InVoluntary")</f>
        <v>Voluntary</v>
      </c>
      <c r="N1302" s="4" t="s">
        <v>26</v>
      </c>
      <c r="O1302" s="41"/>
      <c r="P1302">
        <v>1</v>
      </c>
      <c r="Q1302" t="s">
        <v>173</v>
      </c>
    </row>
    <row r="1303" spans="1:17" x14ac:dyDescent="0.35">
      <c r="A1303" s="4">
        <v>7269</v>
      </c>
      <c r="B1303" s="5">
        <v>37963</v>
      </c>
      <c r="C1303" s="5">
        <v>43928</v>
      </c>
      <c r="D1303" s="4">
        <v>17</v>
      </c>
      <c r="E1303" s="6" t="str" cm="1">
        <f t="array" ref="E1303">_xlfn.IFS(D1303&lt;=5,"Newcomer",AND(D1303&gt;=6,D1303&lt;=10),"Proficient",D1303&gt;10,"Expert")</f>
        <v>Expert</v>
      </c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 t="str" cm="1">
        <f t="array" ref="M1303">_xlfn.IFS(L1303="Retirement","Voluntary",L1303="Resignation","Voluntary",L1303="Layoff","InVoluntary")</f>
        <v>Voluntary</v>
      </c>
      <c r="N1303" s="4" t="s">
        <v>26</v>
      </c>
      <c r="O1303" s="41"/>
      <c r="P1303">
        <v>1</v>
      </c>
      <c r="Q1303" t="s">
        <v>173</v>
      </c>
    </row>
    <row r="1304" spans="1:17" x14ac:dyDescent="0.35">
      <c r="A1304" s="4">
        <v>7270</v>
      </c>
      <c r="B1304" s="5">
        <v>39082</v>
      </c>
      <c r="C1304" s="5">
        <v>44104</v>
      </c>
      <c r="D1304" s="4">
        <v>14</v>
      </c>
      <c r="E1304" s="6" t="str" cm="1">
        <f t="array" ref="E1304">_xlfn.IFS(D1304&lt;=5,"Newcomer",AND(D1304&gt;=6,D1304&lt;=10),"Proficient",D1304&gt;10,"Expert")</f>
        <v>Expert</v>
      </c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 t="str" cm="1">
        <f t="array" ref="M1304">_xlfn.IFS(L1304="Retirement","Voluntary",L1304="Resignation","Voluntary",L1304="Layoff","InVoluntary")</f>
        <v>Voluntary</v>
      </c>
      <c r="N1304" s="4" t="s">
        <v>26</v>
      </c>
      <c r="O1304" s="41"/>
      <c r="P1304">
        <v>1</v>
      </c>
      <c r="Q1304" t="s">
        <v>173</v>
      </c>
    </row>
    <row r="1305" spans="1:17" x14ac:dyDescent="0.35">
      <c r="A1305" s="4">
        <v>7273</v>
      </c>
      <c r="B1305" s="5">
        <v>37262</v>
      </c>
      <c r="C1305" s="5">
        <v>44026</v>
      </c>
      <c r="D1305" s="4">
        <v>18</v>
      </c>
      <c r="E1305" s="6" t="str" cm="1">
        <f t="array" ref="E1305">_xlfn.IFS(D1305&lt;=5,"Newcomer",AND(D1305&gt;=6,D1305&lt;=10),"Proficient",D1305&gt;10,"Expert")</f>
        <v>Expert</v>
      </c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 t="str" cm="1">
        <f t="array" ref="M1305">_xlfn.IFS(L1305="Retirement","Voluntary",L1305="Resignation","Voluntary",L1305="Layoff","InVoluntary")</f>
        <v>Voluntary</v>
      </c>
      <c r="N1305" s="4" t="s">
        <v>26</v>
      </c>
      <c r="O1305" s="41"/>
      <c r="P1305">
        <v>1</v>
      </c>
      <c r="Q1305" t="s">
        <v>173</v>
      </c>
    </row>
    <row r="1306" spans="1:17" x14ac:dyDescent="0.35">
      <c r="A1306" s="4">
        <v>7274</v>
      </c>
      <c r="B1306" s="5">
        <v>38240</v>
      </c>
      <c r="C1306" s="5">
        <v>44142</v>
      </c>
      <c r="D1306" s="4">
        <v>16</v>
      </c>
      <c r="E1306" s="6" t="str" cm="1">
        <f t="array" ref="E1306">_xlfn.IFS(D1306&lt;=5,"Newcomer",AND(D1306&gt;=6,D1306&lt;=10),"Proficient",D1306&gt;10,"Expert")</f>
        <v>Expert</v>
      </c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 t="str" cm="1">
        <f t="array" ref="M1306">_xlfn.IFS(L1306="Retirement","Voluntary",L1306="Resignation","Voluntary",L1306="Layoff","InVoluntary")</f>
        <v>Voluntary</v>
      </c>
      <c r="N1306" s="4" t="s">
        <v>26</v>
      </c>
      <c r="O1306" s="41"/>
      <c r="P1306">
        <v>1</v>
      </c>
      <c r="Q1306" t="s">
        <v>173</v>
      </c>
    </row>
    <row r="1307" spans="1:17" x14ac:dyDescent="0.35">
      <c r="A1307" s="4">
        <v>7282</v>
      </c>
      <c r="B1307" s="5">
        <v>34696</v>
      </c>
      <c r="C1307" s="5">
        <v>43999</v>
      </c>
      <c r="D1307" s="4">
        <v>26</v>
      </c>
      <c r="E1307" s="6" t="str" cm="1">
        <f t="array" ref="E1307">_xlfn.IFS(D1307&lt;=5,"Newcomer",AND(D1307&gt;=6,D1307&lt;=10),"Proficient",D1307&gt;10,"Expert")</f>
        <v>Expert</v>
      </c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 t="str" cm="1">
        <f t="array" ref="M1307">_xlfn.IFS(L1307="Retirement","Voluntary",L1307="Resignation","Voluntary",L1307="Layoff","InVoluntary")</f>
        <v>Voluntary</v>
      </c>
      <c r="N1307" s="4" t="s">
        <v>26</v>
      </c>
      <c r="O1307" s="41"/>
      <c r="P1307">
        <v>1</v>
      </c>
      <c r="Q1307" t="s">
        <v>173</v>
      </c>
    </row>
    <row r="1308" spans="1:17" x14ac:dyDescent="0.35">
      <c r="A1308" s="4">
        <v>7287</v>
      </c>
      <c r="B1308" s="5">
        <v>39136</v>
      </c>
      <c r="C1308" s="5">
        <v>44010</v>
      </c>
      <c r="D1308" s="4">
        <v>13</v>
      </c>
      <c r="E1308" s="6" t="str" cm="1">
        <f t="array" ref="E1308">_xlfn.IFS(D1308&lt;=5,"Newcomer",AND(D1308&gt;=6,D1308&lt;=10),"Proficient",D1308&gt;10,"Expert")</f>
        <v>Expert</v>
      </c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 t="str" cm="1">
        <f t="array" ref="M1308">_xlfn.IFS(L1308="Retirement","Voluntary",L1308="Resignation","Voluntary",L1308="Layoff","InVoluntary")</f>
        <v>Voluntary</v>
      </c>
      <c r="N1308" s="4" t="s">
        <v>26</v>
      </c>
      <c r="O1308" s="41"/>
      <c r="P1308">
        <v>1</v>
      </c>
      <c r="Q1308" t="s">
        <v>173</v>
      </c>
    </row>
    <row r="1309" spans="1:17" x14ac:dyDescent="0.35">
      <c r="A1309" s="4">
        <v>7288</v>
      </c>
      <c r="B1309" s="5">
        <v>39991</v>
      </c>
      <c r="C1309" s="5">
        <v>44187</v>
      </c>
      <c r="D1309" s="4">
        <v>11</v>
      </c>
      <c r="E1309" s="6" t="str" cm="1">
        <f t="array" ref="E1309">_xlfn.IFS(D1309&lt;=5,"Newcomer",AND(D1309&gt;=6,D1309&lt;=10),"Proficient",D1309&gt;10,"Expert")</f>
        <v>Expert</v>
      </c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 t="str" cm="1">
        <f t="array" ref="M1309">_xlfn.IFS(L1309="Retirement","Voluntary",L1309="Resignation","Voluntary",L1309="Layoff","InVoluntary")</f>
        <v>InVoluntary</v>
      </c>
      <c r="N1309" s="4" t="s">
        <v>26</v>
      </c>
      <c r="O1309" s="41"/>
      <c r="P1309">
        <v>1</v>
      </c>
      <c r="Q1309" t="s">
        <v>174</v>
      </c>
    </row>
    <row r="1310" spans="1:17" x14ac:dyDescent="0.35">
      <c r="A1310" s="4">
        <v>7291</v>
      </c>
      <c r="B1310" s="5">
        <v>39148</v>
      </c>
      <c r="C1310" s="5">
        <v>44150</v>
      </c>
      <c r="D1310" s="4">
        <v>13</v>
      </c>
      <c r="E1310" s="6" t="str" cm="1">
        <f t="array" ref="E1310">_xlfn.IFS(D1310&lt;=5,"Newcomer",AND(D1310&gt;=6,D1310&lt;=10),"Proficient",D1310&gt;10,"Expert")</f>
        <v>Expert</v>
      </c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 t="str" cm="1">
        <f t="array" ref="M1310">_xlfn.IFS(L1310="Retirement","Voluntary",L1310="Resignation","Voluntary",L1310="Layoff","InVoluntary")</f>
        <v>Voluntary</v>
      </c>
      <c r="N1310" s="4" t="s">
        <v>26</v>
      </c>
      <c r="O1310" s="41"/>
      <c r="P1310">
        <v>1</v>
      </c>
      <c r="Q1310" t="s">
        <v>173</v>
      </c>
    </row>
    <row r="1311" spans="1:17" x14ac:dyDescent="0.35">
      <c r="A1311" s="4">
        <v>7296</v>
      </c>
      <c r="B1311" s="5">
        <v>41066</v>
      </c>
      <c r="C1311" s="5">
        <v>44033</v>
      </c>
      <c r="D1311" s="4">
        <v>8</v>
      </c>
      <c r="E1311" s="6" t="str" cm="1">
        <f t="array" ref="E1311">_xlfn.IFS(D1311&lt;=5,"Newcomer",AND(D1311&gt;=6,D1311&lt;=10),"Proficient",D1311&gt;10,"Expert")</f>
        <v>Proficient</v>
      </c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 t="str" cm="1">
        <f t="array" ref="M1311">_xlfn.IFS(L1311="Retirement","Voluntary",L1311="Resignation","Voluntary",L1311="Layoff","InVoluntary")</f>
        <v>Voluntary</v>
      </c>
      <c r="N1311" s="4" t="s">
        <v>26</v>
      </c>
      <c r="O1311" s="41"/>
      <c r="P1311">
        <v>1</v>
      </c>
      <c r="Q1311" t="s">
        <v>173</v>
      </c>
    </row>
    <row r="1312" spans="1:17" x14ac:dyDescent="0.35">
      <c r="A1312" s="4">
        <v>7297</v>
      </c>
      <c r="B1312" s="5">
        <v>34163</v>
      </c>
      <c r="C1312" s="5">
        <v>43966</v>
      </c>
      <c r="D1312" s="4">
        <v>27</v>
      </c>
      <c r="E1312" s="6" t="str" cm="1">
        <f t="array" ref="E1312">_xlfn.IFS(D1312&lt;=5,"Newcomer",AND(D1312&gt;=6,D1312&lt;=10),"Proficient",D1312&gt;10,"Expert")</f>
        <v>Expert</v>
      </c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 t="str" cm="1">
        <f t="array" ref="M1312">_xlfn.IFS(L1312="Retirement","Voluntary",L1312="Resignation","Voluntary",L1312="Layoff","InVoluntary")</f>
        <v>Voluntary</v>
      </c>
      <c r="N1312" s="4" t="s">
        <v>26</v>
      </c>
      <c r="O1312" s="41"/>
      <c r="P1312">
        <v>1</v>
      </c>
      <c r="Q1312" t="s">
        <v>173</v>
      </c>
    </row>
    <row r="1313" spans="1:17" x14ac:dyDescent="0.35">
      <c r="A1313" s="4">
        <v>7300</v>
      </c>
      <c r="B1313" s="5">
        <v>38674</v>
      </c>
      <c r="C1313" s="5">
        <v>44141</v>
      </c>
      <c r="D1313" s="4">
        <v>15</v>
      </c>
      <c r="E1313" s="6" t="str" cm="1">
        <f t="array" ref="E1313">_xlfn.IFS(D1313&lt;=5,"Newcomer",AND(D1313&gt;=6,D1313&lt;=10),"Proficient",D1313&gt;10,"Expert")</f>
        <v>Expert</v>
      </c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 t="str" cm="1">
        <f t="array" ref="M1313">_xlfn.IFS(L1313="Retirement","Voluntary",L1313="Resignation","Voluntary",L1313="Layoff","InVoluntary")</f>
        <v>Voluntary</v>
      </c>
      <c r="N1313" s="4" t="s">
        <v>26</v>
      </c>
      <c r="O1313" s="41"/>
      <c r="P1313">
        <v>1</v>
      </c>
      <c r="Q1313" t="s">
        <v>173</v>
      </c>
    </row>
    <row r="1314" spans="1:17" x14ac:dyDescent="0.35">
      <c r="A1314" s="4">
        <v>7302</v>
      </c>
      <c r="B1314" s="5">
        <v>41293</v>
      </c>
      <c r="C1314" s="5">
        <v>44155</v>
      </c>
      <c r="D1314" s="4">
        <v>7</v>
      </c>
      <c r="E1314" s="6" t="str" cm="1">
        <f t="array" ref="E1314">_xlfn.IFS(D1314&lt;=5,"Newcomer",AND(D1314&gt;=6,D1314&lt;=10),"Proficient",D1314&gt;10,"Expert")</f>
        <v>Proficient</v>
      </c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 t="str" cm="1">
        <f t="array" ref="M1314">_xlfn.IFS(L1314="Retirement","Voluntary",L1314="Resignation","Voluntary",L1314="Layoff","InVoluntary")</f>
        <v>Voluntary</v>
      </c>
      <c r="N1314" s="4" t="s">
        <v>26</v>
      </c>
      <c r="O1314" s="41"/>
      <c r="P1314">
        <v>1</v>
      </c>
      <c r="Q1314" t="s">
        <v>173</v>
      </c>
    </row>
    <row r="1315" spans="1:17" x14ac:dyDescent="0.35">
      <c r="A1315" s="4">
        <v>7322</v>
      </c>
      <c r="B1315" s="5">
        <v>38215</v>
      </c>
      <c r="C1315" s="5">
        <v>43840</v>
      </c>
      <c r="D1315" s="4">
        <v>16</v>
      </c>
      <c r="E1315" s="6" t="str" cm="1">
        <f t="array" ref="E1315">_xlfn.IFS(D1315&lt;=5,"Newcomer",AND(D1315&gt;=6,D1315&lt;=10),"Proficient",D1315&gt;10,"Expert")</f>
        <v>Expert</v>
      </c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 t="str" cm="1">
        <f t="array" ref="M1315">_xlfn.IFS(L1315="Retirement","Voluntary",L1315="Resignation","Voluntary",L1315="Layoff","InVoluntary")</f>
        <v>Voluntary</v>
      </c>
      <c r="N1315" s="4" t="s">
        <v>26</v>
      </c>
      <c r="O1315" s="41"/>
      <c r="P1315">
        <v>1</v>
      </c>
      <c r="Q1315" t="s">
        <v>173</v>
      </c>
    </row>
    <row r="1316" spans="1:17" x14ac:dyDescent="0.35">
      <c r="A1316" s="4">
        <v>7325</v>
      </c>
      <c r="B1316" s="5">
        <v>35413</v>
      </c>
      <c r="C1316" s="5">
        <v>44118</v>
      </c>
      <c r="D1316" s="4">
        <v>24</v>
      </c>
      <c r="E1316" s="6" t="str" cm="1">
        <f t="array" ref="E1316">_xlfn.IFS(D1316&lt;=5,"Newcomer",AND(D1316&gt;=6,D1316&lt;=10),"Proficient",D1316&gt;10,"Expert")</f>
        <v>Expert</v>
      </c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 t="str" cm="1">
        <f t="array" ref="M1316">_xlfn.IFS(L1316="Retirement","Voluntary",L1316="Resignation","Voluntary",L1316="Layoff","InVoluntary")</f>
        <v>InVoluntary</v>
      </c>
      <c r="N1316" s="4" t="s">
        <v>26</v>
      </c>
      <c r="O1316" s="41"/>
      <c r="P1316">
        <v>1</v>
      </c>
      <c r="Q1316" t="s">
        <v>174</v>
      </c>
    </row>
    <row r="1317" spans="1:17" x14ac:dyDescent="0.35">
      <c r="A1317" s="4">
        <v>7370</v>
      </c>
      <c r="B1317" s="5">
        <v>41485</v>
      </c>
      <c r="C1317" s="5">
        <v>44062</v>
      </c>
      <c r="D1317" s="4">
        <v>7</v>
      </c>
      <c r="E1317" s="6" t="str" cm="1">
        <f t="array" ref="E1317">_xlfn.IFS(D1317&lt;=5,"Newcomer",AND(D1317&gt;=6,D1317&lt;=10),"Proficient",D1317&gt;10,"Expert")</f>
        <v>Proficient</v>
      </c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 t="str" cm="1">
        <f t="array" ref="M1317">_xlfn.IFS(L1317="Retirement","Voluntary",L1317="Resignation","Voluntary",L1317="Layoff","InVoluntary")</f>
        <v>InVoluntary</v>
      </c>
      <c r="N1317" s="4" t="s">
        <v>26</v>
      </c>
      <c r="O1317" s="41"/>
      <c r="P1317">
        <v>1</v>
      </c>
      <c r="Q1317" t="s">
        <v>174</v>
      </c>
    </row>
    <row r="1318" spans="1:17" x14ac:dyDescent="0.35">
      <c r="A1318" s="4">
        <v>7388</v>
      </c>
      <c r="B1318" s="5">
        <v>35324</v>
      </c>
      <c r="C1318" s="5">
        <v>44161</v>
      </c>
      <c r="D1318" s="4">
        <v>24</v>
      </c>
      <c r="E1318" s="6" t="str" cm="1">
        <f t="array" ref="E1318">_xlfn.IFS(D1318&lt;=5,"Newcomer",AND(D1318&gt;=6,D1318&lt;=10),"Proficient",D1318&gt;10,"Expert")</f>
        <v>Expert</v>
      </c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 t="str" cm="1">
        <f t="array" ref="M1318">_xlfn.IFS(L1318="Retirement","Voluntary",L1318="Resignation","Voluntary",L1318="Layoff","InVoluntary")</f>
        <v>Voluntary</v>
      </c>
      <c r="N1318" s="4" t="s">
        <v>26</v>
      </c>
      <c r="O1318" s="41"/>
      <c r="P1318">
        <v>1</v>
      </c>
      <c r="Q1318" t="s">
        <v>173</v>
      </c>
    </row>
    <row r="1319" spans="1:17" x14ac:dyDescent="0.35">
      <c r="A1319" s="4">
        <v>7406</v>
      </c>
      <c r="B1319" s="5">
        <v>39950</v>
      </c>
      <c r="C1319" s="5">
        <v>43978</v>
      </c>
      <c r="D1319" s="4">
        <v>11</v>
      </c>
      <c r="E1319" s="6" t="str" cm="1">
        <f t="array" ref="E1319">_xlfn.IFS(D1319&lt;=5,"Newcomer",AND(D1319&gt;=6,D1319&lt;=10),"Proficient",D1319&gt;10,"Expert")</f>
        <v>Expert</v>
      </c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 t="str" cm="1">
        <f t="array" ref="M1319">_xlfn.IFS(L1319="Retirement","Voluntary",L1319="Resignation","Voluntary",L1319="Layoff","InVoluntary")</f>
        <v>InVoluntary</v>
      </c>
      <c r="N1319" s="4" t="s">
        <v>26</v>
      </c>
      <c r="O1319" s="41"/>
      <c r="P1319">
        <v>1</v>
      </c>
      <c r="Q1319" t="s">
        <v>174</v>
      </c>
    </row>
    <row r="1320" spans="1:17" x14ac:dyDescent="0.35">
      <c r="A1320" s="4">
        <v>7411</v>
      </c>
      <c r="B1320" s="5">
        <v>36955</v>
      </c>
      <c r="C1320" s="5">
        <v>44185</v>
      </c>
      <c r="D1320" s="4">
        <v>19</v>
      </c>
      <c r="E1320" s="6" t="str" cm="1">
        <f t="array" ref="E1320">_xlfn.IFS(D1320&lt;=5,"Newcomer",AND(D1320&gt;=6,D1320&lt;=10),"Proficient",D1320&gt;10,"Expert")</f>
        <v>Expert</v>
      </c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 t="str" cm="1">
        <f t="array" ref="M1320">_xlfn.IFS(L1320="Retirement","Voluntary",L1320="Resignation","Voluntary",L1320="Layoff","InVoluntary")</f>
        <v>Voluntary</v>
      </c>
      <c r="N1320" s="4" t="s">
        <v>26</v>
      </c>
      <c r="O1320" s="41"/>
      <c r="P1320">
        <v>1</v>
      </c>
      <c r="Q1320" t="s">
        <v>173</v>
      </c>
    </row>
    <row r="1321" spans="1:17" x14ac:dyDescent="0.35">
      <c r="A1321" s="4">
        <v>7416</v>
      </c>
      <c r="B1321" s="5">
        <v>36916</v>
      </c>
      <c r="C1321" s="5">
        <v>44150</v>
      </c>
      <c r="D1321" s="4">
        <v>19</v>
      </c>
      <c r="E1321" s="6" t="str" cm="1">
        <f t="array" ref="E1321">_xlfn.IFS(D1321&lt;=5,"Newcomer",AND(D1321&gt;=6,D1321&lt;=10),"Proficient",D1321&gt;10,"Expert")</f>
        <v>Expert</v>
      </c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 t="str" cm="1">
        <f t="array" ref="M1321">_xlfn.IFS(L1321="Retirement","Voluntary",L1321="Resignation","Voluntary",L1321="Layoff","InVoluntary")</f>
        <v>Voluntary</v>
      </c>
      <c r="N1321" s="4" t="s">
        <v>26</v>
      </c>
      <c r="O1321" s="41"/>
      <c r="P1321">
        <v>1</v>
      </c>
      <c r="Q1321" t="s">
        <v>173</v>
      </c>
    </row>
    <row r="1322" spans="1:17" x14ac:dyDescent="0.35">
      <c r="A1322" s="4">
        <v>7424</v>
      </c>
      <c r="B1322" s="5">
        <v>35937</v>
      </c>
      <c r="C1322" s="5">
        <v>43935</v>
      </c>
      <c r="D1322" s="4">
        <v>22</v>
      </c>
      <c r="E1322" s="6" t="str" cm="1">
        <f t="array" ref="E1322">_xlfn.IFS(D1322&lt;=5,"Newcomer",AND(D1322&gt;=6,D1322&lt;=10),"Proficient",D1322&gt;10,"Expert")</f>
        <v>Expert</v>
      </c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 t="str" cm="1">
        <f t="array" ref="M1322">_xlfn.IFS(L1322="Retirement","Voluntary",L1322="Resignation","Voluntary",L1322="Layoff","InVoluntary")</f>
        <v>Voluntary</v>
      </c>
      <c r="N1322" s="4" t="s">
        <v>26</v>
      </c>
      <c r="O1322" s="41"/>
      <c r="P1322">
        <v>1</v>
      </c>
      <c r="Q1322" t="s">
        <v>173</v>
      </c>
    </row>
    <row r="1323" spans="1:17" x14ac:dyDescent="0.35">
      <c r="A1323" s="4">
        <v>7425</v>
      </c>
      <c r="B1323" s="5">
        <v>37312</v>
      </c>
      <c r="C1323" s="5">
        <v>44019</v>
      </c>
      <c r="D1323" s="4">
        <v>18</v>
      </c>
      <c r="E1323" s="6" t="str" cm="1">
        <f t="array" ref="E1323">_xlfn.IFS(D1323&lt;=5,"Newcomer",AND(D1323&gt;=6,D1323&lt;=10),"Proficient",D1323&gt;10,"Expert")</f>
        <v>Expert</v>
      </c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 t="str" cm="1">
        <f t="array" ref="M1323">_xlfn.IFS(L1323="Retirement","Voluntary",L1323="Resignation","Voluntary",L1323="Layoff","InVoluntary")</f>
        <v>Voluntary</v>
      </c>
      <c r="N1323" s="4" t="s">
        <v>26</v>
      </c>
      <c r="O1323" s="41"/>
      <c r="P1323">
        <v>1</v>
      </c>
      <c r="Q1323" t="s">
        <v>173</v>
      </c>
    </row>
    <row r="1324" spans="1:17" x14ac:dyDescent="0.35">
      <c r="A1324" s="4">
        <v>7430</v>
      </c>
      <c r="B1324" s="5">
        <v>36183</v>
      </c>
      <c r="C1324" s="5">
        <v>43947</v>
      </c>
      <c r="D1324" s="4">
        <v>21</v>
      </c>
      <c r="E1324" s="6" t="str" cm="1">
        <f t="array" ref="E1324">_xlfn.IFS(D1324&lt;=5,"Newcomer",AND(D1324&gt;=6,D1324&lt;=10),"Proficient",D1324&gt;10,"Expert")</f>
        <v>Expert</v>
      </c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 t="str" cm="1">
        <f t="array" ref="M1324">_xlfn.IFS(L1324="Retirement","Voluntary",L1324="Resignation","Voluntary",L1324="Layoff","InVoluntary")</f>
        <v>Voluntary</v>
      </c>
      <c r="N1324" s="4" t="s">
        <v>26</v>
      </c>
      <c r="O1324" s="41"/>
      <c r="P1324">
        <v>1</v>
      </c>
      <c r="Q1324" t="s">
        <v>173</v>
      </c>
    </row>
    <row r="1325" spans="1:17" x14ac:dyDescent="0.35">
      <c r="A1325" s="4">
        <v>7433</v>
      </c>
      <c r="B1325" s="5">
        <v>34583</v>
      </c>
      <c r="C1325" s="5">
        <v>43929</v>
      </c>
      <c r="D1325" s="4">
        <v>26</v>
      </c>
      <c r="E1325" s="6" t="str" cm="1">
        <f t="array" ref="E1325">_xlfn.IFS(D1325&lt;=5,"Newcomer",AND(D1325&gt;=6,D1325&lt;=10),"Proficient",D1325&gt;10,"Expert")</f>
        <v>Expert</v>
      </c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 t="str" cm="1">
        <f t="array" ref="M1325">_xlfn.IFS(L1325="Retirement","Voluntary",L1325="Resignation","Voluntary",L1325="Layoff","InVoluntary")</f>
        <v>Voluntary</v>
      </c>
      <c r="N1325" s="4" t="s">
        <v>26</v>
      </c>
      <c r="O1325" s="41"/>
      <c r="P1325">
        <v>1</v>
      </c>
      <c r="Q1325" t="s">
        <v>173</v>
      </c>
    </row>
    <row r="1326" spans="1:17" x14ac:dyDescent="0.35">
      <c r="A1326" s="4">
        <v>7434</v>
      </c>
      <c r="B1326" s="5">
        <v>35669</v>
      </c>
      <c r="C1326" s="5">
        <v>44097</v>
      </c>
      <c r="D1326" s="4">
        <v>23</v>
      </c>
      <c r="E1326" s="6" t="str" cm="1">
        <f t="array" ref="E1326">_xlfn.IFS(D1326&lt;=5,"Newcomer",AND(D1326&gt;=6,D1326&lt;=10),"Proficient",D1326&gt;10,"Expert")</f>
        <v>Expert</v>
      </c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 t="str" cm="1">
        <f t="array" ref="M1326">_xlfn.IFS(L1326="Retirement","Voluntary",L1326="Resignation","Voluntary",L1326="Layoff","InVoluntary")</f>
        <v>Voluntary</v>
      </c>
      <c r="N1326" s="4" t="s">
        <v>26</v>
      </c>
      <c r="O1326" s="41"/>
      <c r="P1326">
        <v>1</v>
      </c>
      <c r="Q1326" t="s">
        <v>173</v>
      </c>
    </row>
    <row r="1327" spans="1:17" x14ac:dyDescent="0.35">
      <c r="A1327" s="4">
        <v>7435</v>
      </c>
      <c r="B1327" s="5">
        <v>40373</v>
      </c>
      <c r="C1327" s="5">
        <v>44013</v>
      </c>
      <c r="D1327" s="4">
        <v>10</v>
      </c>
      <c r="E1327" s="6" t="str" cm="1">
        <f t="array" ref="E1327">_xlfn.IFS(D1327&lt;=5,"Newcomer",AND(D1327&gt;=6,D1327&lt;=10),"Proficient",D1327&gt;10,"Expert")</f>
        <v>Proficient</v>
      </c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 t="str" cm="1">
        <f t="array" ref="M1327">_xlfn.IFS(L1327="Retirement","Voluntary",L1327="Resignation","Voluntary",L1327="Layoff","InVoluntary")</f>
        <v>Voluntary</v>
      </c>
      <c r="N1327" s="4" t="s">
        <v>26</v>
      </c>
      <c r="O1327" s="41"/>
      <c r="P1327">
        <v>1</v>
      </c>
      <c r="Q1327" t="s">
        <v>173</v>
      </c>
    </row>
    <row r="1328" spans="1:17" x14ac:dyDescent="0.35">
      <c r="A1328" s="4">
        <v>7439</v>
      </c>
      <c r="B1328" s="5">
        <v>40556</v>
      </c>
      <c r="C1328" s="5">
        <v>43997</v>
      </c>
      <c r="D1328" s="4">
        <v>9</v>
      </c>
      <c r="E1328" s="6" t="str" cm="1">
        <f t="array" ref="E1328">_xlfn.IFS(D1328&lt;=5,"Newcomer",AND(D1328&gt;=6,D1328&lt;=10),"Proficient",D1328&gt;10,"Expert")</f>
        <v>Proficient</v>
      </c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 t="str" cm="1">
        <f t="array" ref="M1328">_xlfn.IFS(L1328="Retirement","Voluntary",L1328="Resignation","Voluntary",L1328="Layoff","InVoluntary")</f>
        <v>Voluntary</v>
      </c>
      <c r="N1328" s="4" t="s">
        <v>26</v>
      </c>
      <c r="O1328" s="41"/>
      <c r="P1328">
        <v>1</v>
      </c>
      <c r="Q1328" t="s">
        <v>173</v>
      </c>
    </row>
    <row r="1329" spans="1:17" x14ac:dyDescent="0.35">
      <c r="A1329" s="4">
        <v>7440</v>
      </c>
      <c r="B1329" s="5">
        <v>41684</v>
      </c>
      <c r="C1329" s="5">
        <v>44061</v>
      </c>
      <c r="D1329" s="4">
        <v>6</v>
      </c>
      <c r="E1329" s="6" t="str" cm="1">
        <f t="array" ref="E1329">_xlfn.IFS(D1329&lt;=5,"Newcomer",AND(D1329&gt;=6,D1329&lt;=10),"Proficient",D1329&gt;10,"Expert")</f>
        <v>Proficient</v>
      </c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 t="str" cm="1">
        <f t="array" ref="M1329">_xlfn.IFS(L1329="Retirement","Voluntary",L1329="Resignation","Voluntary",L1329="Layoff","InVoluntary")</f>
        <v>Voluntary</v>
      </c>
      <c r="N1329" s="4" t="s">
        <v>26</v>
      </c>
      <c r="O1329" s="41"/>
      <c r="P1329">
        <v>1</v>
      </c>
      <c r="Q1329" t="s">
        <v>173</v>
      </c>
    </row>
    <row r="1330" spans="1:17" x14ac:dyDescent="0.35">
      <c r="A1330" s="4">
        <v>7441</v>
      </c>
      <c r="B1330" s="5">
        <v>35090</v>
      </c>
      <c r="C1330" s="5">
        <v>44062</v>
      </c>
      <c r="D1330" s="4">
        <v>24</v>
      </c>
      <c r="E1330" s="6" t="str" cm="1">
        <f t="array" ref="E1330">_xlfn.IFS(D1330&lt;=5,"Newcomer",AND(D1330&gt;=6,D1330&lt;=10),"Proficient",D1330&gt;10,"Expert")</f>
        <v>Expert</v>
      </c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 t="str" cm="1">
        <f t="array" ref="M1330">_xlfn.IFS(L1330="Retirement","Voluntary",L1330="Resignation","Voluntary",L1330="Layoff","InVoluntary")</f>
        <v>InVoluntary</v>
      </c>
      <c r="N1330" s="4" t="s">
        <v>26</v>
      </c>
      <c r="O1330" s="41"/>
      <c r="P1330">
        <v>1</v>
      </c>
      <c r="Q1330" t="s">
        <v>174</v>
      </c>
    </row>
    <row r="1331" spans="1:17" x14ac:dyDescent="0.35">
      <c r="A1331" s="4">
        <v>7448</v>
      </c>
      <c r="B1331" s="5">
        <v>33346</v>
      </c>
      <c r="C1331" s="5">
        <v>43935</v>
      </c>
      <c r="D1331" s="4">
        <v>29</v>
      </c>
      <c r="E1331" s="6" t="str" cm="1">
        <f t="array" ref="E1331">_xlfn.IFS(D1331&lt;=5,"Newcomer",AND(D1331&gt;=6,D1331&lt;=10),"Proficient",D1331&gt;10,"Expert")</f>
        <v>Expert</v>
      </c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 t="str" cm="1">
        <f t="array" ref="M1331">_xlfn.IFS(L1331="Retirement","Voluntary",L1331="Resignation","Voluntary",L1331="Layoff","InVoluntary")</f>
        <v>Voluntary</v>
      </c>
      <c r="N1331" s="4" t="s">
        <v>26</v>
      </c>
      <c r="O1331" s="41"/>
      <c r="P1331">
        <v>1</v>
      </c>
      <c r="Q1331" t="s">
        <v>173</v>
      </c>
    </row>
    <row r="1332" spans="1:17" x14ac:dyDescent="0.35">
      <c r="A1332" s="4">
        <v>7454</v>
      </c>
      <c r="B1332" s="5">
        <v>41798</v>
      </c>
      <c r="C1332" s="5">
        <v>43984</v>
      </c>
      <c r="D1332" s="4">
        <v>6</v>
      </c>
      <c r="E1332" s="6" t="str" cm="1">
        <f t="array" ref="E1332">_xlfn.IFS(D1332&lt;=5,"Newcomer",AND(D1332&gt;=6,D1332&lt;=10),"Proficient",D1332&gt;10,"Expert")</f>
        <v>Proficient</v>
      </c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 t="str" cm="1">
        <f t="array" ref="M1332">_xlfn.IFS(L1332="Retirement","Voluntary",L1332="Resignation","Voluntary",L1332="Layoff","InVoluntary")</f>
        <v>Voluntary</v>
      </c>
      <c r="N1332" s="4" t="s">
        <v>26</v>
      </c>
      <c r="O1332" s="41"/>
      <c r="P1332">
        <v>1</v>
      </c>
      <c r="Q1332" t="s">
        <v>173</v>
      </c>
    </row>
    <row r="1333" spans="1:17" x14ac:dyDescent="0.35">
      <c r="A1333" s="4">
        <v>7462</v>
      </c>
      <c r="B1333" s="5">
        <v>35620</v>
      </c>
      <c r="C1333" s="5">
        <v>44166</v>
      </c>
      <c r="D1333" s="4">
        <v>23</v>
      </c>
      <c r="E1333" s="6" t="str" cm="1">
        <f t="array" ref="E1333">_xlfn.IFS(D1333&lt;=5,"Newcomer",AND(D1333&gt;=6,D1333&lt;=10),"Proficient",D1333&gt;10,"Expert")</f>
        <v>Expert</v>
      </c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 t="str" cm="1">
        <f t="array" ref="M1333">_xlfn.IFS(L1333="Retirement","Voluntary",L1333="Resignation","Voluntary",L1333="Layoff","InVoluntary")</f>
        <v>InVoluntary</v>
      </c>
      <c r="N1333" s="4" t="s">
        <v>26</v>
      </c>
      <c r="O1333" s="41"/>
      <c r="P1333">
        <v>1</v>
      </c>
      <c r="Q1333" t="s">
        <v>174</v>
      </c>
    </row>
    <row r="1334" spans="1:17" x14ac:dyDescent="0.35">
      <c r="A1334" s="4">
        <v>7464</v>
      </c>
      <c r="B1334" s="5">
        <v>41925</v>
      </c>
      <c r="C1334" s="5">
        <v>43836</v>
      </c>
      <c r="D1334" s="4">
        <v>6</v>
      </c>
      <c r="E1334" s="6" t="str" cm="1">
        <f t="array" ref="E1334">_xlfn.IFS(D1334&lt;=5,"Newcomer",AND(D1334&gt;=6,D1334&lt;=10),"Proficient",D1334&gt;10,"Expert")</f>
        <v>Proficient</v>
      </c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 t="str" cm="1">
        <f t="array" ref="M1334">_xlfn.IFS(L1334="Retirement","Voluntary",L1334="Resignation","Voluntary",L1334="Layoff","InVoluntary")</f>
        <v>Voluntary</v>
      </c>
      <c r="N1334" s="4" t="s">
        <v>26</v>
      </c>
      <c r="O1334" s="41"/>
      <c r="P1334">
        <v>1</v>
      </c>
      <c r="Q1334" t="s">
        <v>173</v>
      </c>
    </row>
    <row r="1335" spans="1:17" x14ac:dyDescent="0.35">
      <c r="A1335" s="4">
        <v>7466</v>
      </c>
      <c r="B1335" s="5">
        <v>35104</v>
      </c>
      <c r="C1335" s="5">
        <v>43903</v>
      </c>
      <c r="D1335" s="4">
        <v>24</v>
      </c>
      <c r="E1335" s="6" t="str" cm="1">
        <f t="array" ref="E1335">_xlfn.IFS(D1335&lt;=5,"Newcomer",AND(D1335&gt;=6,D1335&lt;=10),"Proficient",D1335&gt;10,"Expert")</f>
        <v>Expert</v>
      </c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 t="str" cm="1">
        <f t="array" ref="M1335">_xlfn.IFS(L1335="Retirement","Voluntary",L1335="Resignation","Voluntary",L1335="Layoff","InVoluntary")</f>
        <v>Voluntary</v>
      </c>
      <c r="N1335" s="4" t="s">
        <v>26</v>
      </c>
      <c r="O1335" s="41"/>
      <c r="P1335">
        <v>1</v>
      </c>
      <c r="Q1335" t="s">
        <v>173</v>
      </c>
    </row>
    <row r="1336" spans="1:17" x14ac:dyDescent="0.35">
      <c r="A1336" s="4">
        <v>7467</v>
      </c>
      <c r="B1336" s="5">
        <v>41975</v>
      </c>
      <c r="C1336" s="5">
        <v>43834</v>
      </c>
      <c r="D1336" s="4">
        <v>6</v>
      </c>
      <c r="E1336" s="6" t="str" cm="1">
        <f t="array" ref="E1336">_xlfn.IFS(D1336&lt;=5,"Newcomer",AND(D1336&gt;=6,D1336&lt;=10),"Proficient",D1336&gt;10,"Expert")</f>
        <v>Proficient</v>
      </c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 t="str" cm="1">
        <f t="array" ref="M1336">_xlfn.IFS(L1336="Retirement","Voluntary",L1336="Resignation","Voluntary",L1336="Layoff","InVoluntary")</f>
        <v>Voluntary</v>
      </c>
      <c r="N1336" s="4" t="s">
        <v>26</v>
      </c>
      <c r="O1336" s="41"/>
      <c r="P1336">
        <v>1</v>
      </c>
      <c r="Q1336" t="s">
        <v>173</v>
      </c>
    </row>
    <row r="1337" spans="1:17" x14ac:dyDescent="0.35">
      <c r="A1337" s="4">
        <v>7469</v>
      </c>
      <c r="B1337" s="5">
        <v>35768</v>
      </c>
      <c r="C1337" s="5">
        <v>44186</v>
      </c>
      <c r="D1337" s="4">
        <v>23</v>
      </c>
      <c r="E1337" s="6" t="str" cm="1">
        <f t="array" ref="E1337">_xlfn.IFS(D1337&lt;=5,"Newcomer",AND(D1337&gt;=6,D1337&lt;=10),"Proficient",D1337&gt;10,"Expert")</f>
        <v>Expert</v>
      </c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 t="str" cm="1">
        <f t="array" ref="M1337">_xlfn.IFS(L1337="Retirement","Voluntary",L1337="Resignation","Voluntary",L1337="Layoff","InVoluntary")</f>
        <v>Voluntary</v>
      </c>
      <c r="N1337" s="4" t="s">
        <v>26</v>
      </c>
      <c r="O1337" s="41"/>
      <c r="P1337">
        <v>1</v>
      </c>
      <c r="Q1337" t="s">
        <v>173</v>
      </c>
    </row>
    <row r="1338" spans="1:17" x14ac:dyDescent="0.35">
      <c r="A1338" s="4">
        <v>7473</v>
      </c>
      <c r="B1338" s="5">
        <v>36282</v>
      </c>
      <c r="C1338" s="5">
        <v>43895</v>
      </c>
      <c r="D1338" s="4">
        <v>21</v>
      </c>
      <c r="E1338" s="6" t="str" cm="1">
        <f t="array" ref="E1338">_xlfn.IFS(D1338&lt;=5,"Newcomer",AND(D1338&gt;=6,D1338&lt;=10),"Proficient",D1338&gt;10,"Expert")</f>
        <v>Expert</v>
      </c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 t="str" cm="1">
        <f t="array" ref="M1338">_xlfn.IFS(L1338="Retirement","Voluntary",L1338="Resignation","Voluntary",L1338="Layoff","InVoluntary")</f>
        <v>Voluntary</v>
      </c>
      <c r="N1338" s="4" t="s">
        <v>26</v>
      </c>
      <c r="O1338" s="41"/>
      <c r="P1338">
        <v>1</v>
      </c>
      <c r="Q1338" t="s">
        <v>173</v>
      </c>
    </row>
    <row r="1339" spans="1:17" x14ac:dyDescent="0.35">
      <c r="A1339" s="4">
        <v>7475</v>
      </c>
      <c r="B1339" s="5">
        <v>35699</v>
      </c>
      <c r="C1339" s="5">
        <v>44063</v>
      </c>
      <c r="D1339" s="4">
        <v>23</v>
      </c>
      <c r="E1339" s="6" t="str" cm="1">
        <f t="array" ref="E1339">_xlfn.IFS(D1339&lt;=5,"Newcomer",AND(D1339&gt;=6,D1339&lt;=10),"Proficient",D1339&gt;10,"Expert")</f>
        <v>Expert</v>
      </c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 t="str" cm="1">
        <f t="array" ref="M1339">_xlfn.IFS(L1339="Retirement","Voluntary",L1339="Resignation","Voluntary",L1339="Layoff","InVoluntary")</f>
        <v>Voluntary</v>
      </c>
      <c r="N1339" s="4" t="s">
        <v>26</v>
      </c>
      <c r="O1339" s="41"/>
      <c r="P1339">
        <v>1</v>
      </c>
      <c r="Q1339" t="s">
        <v>173</v>
      </c>
    </row>
    <row r="1340" spans="1:17" x14ac:dyDescent="0.35">
      <c r="A1340" s="4">
        <v>7479</v>
      </c>
      <c r="B1340" s="5">
        <v>34035</v>
      </c>
      <c r="C1340" s="5">
        <v>44103</v>
      </c>
      <c r="D1340" s="4">
        <v>27</v>
      </c>
      <c r="E1340" s="6" t="str" cm="1">
        <f t="array" ref="E1340">_xlfn.IFS(D1340&lt;=5,"Newcomer",AND(D1340&gt;=6,D1340&lt;=10),"Proficient",D1340&gt;10,"Expert")</f>
        <v>Expert</v>
      </c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 t="str" cm="1">
        <f t="array" ref="M1340">_xlfn.IFS(L1340="Retirement","Voluntary",L1340="Resignation","Voluntary",L1340="Layoff","InVoluntary")</f>
        <v>Voluntary</v>
      </c>
      <c r="N1340" s="4" t="s">
        <v>26</v>
      </c>
      <c r="O1340" s="41"/>
      <c r="P1340">
        <v>1</v>
      </c>
      <c r="Q1340" t="s">
        <v>173</v>
      </c>
    </row>
    <row r="1341" spans="1:17" x14ac:dyDescent="0.35">
      <c r="A1341" s="4">
        <v>7483</v>
      </c>
      <c r="B1341" s="5">
        <v>36372</v>
      </c>
      <c r="C1341" s="5">
        <v>44110</v>
      </c>
      <c r="D1341" s="4">
        <v>21</v>
      </c>
      <c r="E1341" s="6" t="str" cm="1">
        <f t="array" ref="E1341">_xlfn.IFS(D1341&lt;=5,"Newcomer",AND(D1341&gt;=6,D1341&lt;=10),"Proficient",D1341&gt;10,"Expert")</f>
        <v>Expert</v>
      </c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 t="str" cm="1">
        <f t="array" ref="M1341">_xlfn.IFS(L1341="Retirement","Voluntary",L1341="Resignation","Voluntary",L1341="Layoff","InVoluntary")</f>
        <v>Voluntary</v>
      </c>
      <c r="N1341" s="4" t="s">
        <v>26</v>
      </c>
      <c r="O1341" s="41"/>
      <c r="P1341">
        <v>1</v>
      </c>
      <c r="Q1341" t="s">
        <v>173</v>
      </c>
    </row>
    <row r="1342" spans="1:17" x14ac:dyDescent="0.35">
      <c r="A1342" s="4">
        <v>7485</v>
      </c>
      <c r="B1342" s="5">
        <v>34268</v>
      </c>
      <c r="C1342" s="5">
        <v>44093</v>
      </c>
      <c r="D1342" s="4">
        <v>27</v>
      </c>
      <c r="E1342" s="6" t="str" cm="1">
        <f t="array" ref="E1342">_xlfn.IFS(D1342&lt;=5,"Newcomer",AND(D1342&gt;=6,D1342&lt;=10),"Proficient",D1342&gt;10,"Expert")</f>
        <v>Expert</v>
      </c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 t="str" cm="1">
        <f t="array" ref="M1342">_xlfn.IFS(L1342="Retirement","Voluntary",L1342="Resignation","Voluntary",L1342="Layoff","InVoluntary")</f>
        <v>Voluntary</v>
      </c>
      <c r="N1342" s="4" t="s">
        <v>26</v>
      </c>
      <c r="O1342" s="41"/>
      <c r="P1342">
        <v>1</v>
      </c>
      <c r="Q1342" t="s">
        <v>173</v>
      </c>
    </row>
    <row r="1343" spans="1:17" x14ac:dyDescent="0.35">
      <c r="A1343" s="4">
        <v>7487</v>
      </c>
      <c r="B1343" s="5">
        <v>42172</v>
      </c>
      <c r="C1343" s="5">
        <v>43851</v>
      </c>
      <c r="D1343" s="4">
        <v>5</v>
      </c>
      <c r="E1343" s="6" t="str" cm="1">
        <f t="array" ref="E1343">_xlfn.IFS(D1343&lt;=5,"Newcomer",AND(D1343&gt;=6,D1343&lt;=10),"Proficient",D1343&gt;10,"Expert")</f>
        <v>Newcomer</v>
      </c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 t="str" cm="1">
        <f t="array" ref="M1343">_xlfn.IFS(L1343="Retirement","Voluntary",L1343="Resignation","Voluntary",L1343="Layoff","InVoluntary")</f>
        <v>Voluntary</v>
      </c>
      <c r="N1343" s="4" t="s">
        <v>26</v>
      </c>
      <c r="O1343" s="41"/>
      <c r="P1343">
        <v>1</v>
      </c>
      <c r="Q1343" t="s">
        <v>173</v>
      </c>
    </row>
    <row r="1344" spans="1:17" x14ac:dyDescent="0.35">
      <c r="A1344" s="4">
        <v>7530</v>
      </c>
      <c r="B1344" s="5">
        <v>37472</v>
      </c>
      <c r="C1344" s="5">
        <v>44189</v>
      </c>
      <c r="D1344" s="4">
        <v>18</v>
      </c>
      <c r="E1344" s="6" t="str" cm="1">
        <f t="array" ref="E1344">_xlfn.IFS(D1344&lt;=5,"Newcomer",AND(D1344&gt;=6,D1344&lt;=10),"Proficient",D1344&gt;10,"Expert")</f>
        <v>Expert</v>
      </c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 t="str" cm="1">
        <f t="array" ref="M1344">_xlfn.IFS(L1344="Retirement","Voluntary",L1344="Resignation","Voluntary",L1344="Layoff","InVoluntary")</f>
        <v>Voluntary</v>
      </c>
      <c r="N1344" s="4" t="s">
        <v>26</v>
      </c>
      <c r="O1344" s="41"/>
      <c r="P1344">
        <v>1</v>
      </c>
      <c r="Q1344" t="s">
        <v>173</v>
      </c>
    </row>
    <row r="1345" spans="1:17" x14ac:dyDescent="0.35">
      <c r="A1345" s="4">
        <v>7532</v>
      </c>
      <c r="B1345" s="5">
        <v>38174</v>
      </c>
      <c r="C1345" s="5">
        <v>43989</v>
      </c>
      <c r="D1345" s="4">
        <v>16</v>
      </c>
      <c r="E1345" s="6" t="str" cm="1">
        <f t="array" ref="E1345">_xlfn.IFS(D1345&lt;=5,"Newcomer",AND(D1345&gt;=6,D1345&lt;=10),"Proficient",D1345&gt;10,"Expert")</f>
        <v>Expert</v>
      </c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 t="str" cm="1">
        <f t="array" ref="M1345">_xlfn.IFS(L1345="Retirement","Voluntary",L1345="Resignation","Voluntary",L1345="Layoff","InVoluntary")</f>
        <v>InVoluntary</v>
      </c>
      <c r="N1345" s="4" t="s">
        <v>26</v>
      </c>
      <c r="O1345" s="41"/>
      <c r="P1345">
        <v>1</v>
      </c>
      <c r="Q1345" t="s">
        <v>174</v>
      </c>
    </row>
    <row r="1346" spans="1:17" x14ac:dyDescent="0.35">
      <c r="A1346" s="4">
        <v>7537</v>
      </c>
      <c r="B1346" s="5">
        <v>37871</v>
      </c>
      <c r="C1346" s="5">
        <v>43884</v>
      </c>
      <c r="D1346" s="4">
        <v>17</v>
      </c>
      <c r="E1346" s="6" t="str" cm="1">
        <f t="array" ref="E1346">_xlfn.IFS(D1346&lt;=5,"Newcomer",AND(D1346&gt;=6,D1346&lt;=10),"Proficient",D1346&gt;10,"Expert")</f>
        <v>Expert</v>
      </c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 t="str" cm="1">
        <f t="array" ref="M1346">_xlfn.IFS(L1346="Retirement","Voluntary",L1346="Resignation","Voluntary",L1346="Layoff","InVoluntary")</f>
        <v>Voluntary</v>
      </c>
      <c r="N1346" s="4" t="s">
        <v>26</v>
      </c>
      <c r="O1346" s="41"/>
      <c r="P1346">
        <v>1</v>
      </c>
      <c r="Q1346" t="s">
        <v>173</v>
      </c>
    </row>
    <row r="1347" spans="1:17" x14ac:dyDescent="0.35">
      <c r="A1347" s="4">
        <v>7560</v>
      </c>
      <c r="B1347" s="5">
        <v>38839</v>
      </c>
      <c r="C1347" s="5">
        <v>44184</v>
      </c>
      <c r="D1347" s="4">
        <v>14</v>
      </c>
      <c r="E1347" s="6" t="str" cm="1">
        <f t="array" ref="E1347">_xlfn.IFS(D1347&lt;=5,"Newcomer",AND(D1347&gt;=6,D1347&lt;=10),"Proficient",D1347&gt;10,"Expert")</f>
        <v>Expert</v>
      </c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 t="str" cm="1">
        <f t="array" ref="M1347">_xlfn.IFS(L1347="Retirement","Voluntary",L1347="Resignation","Voluntary",L1347="Layoff","InVoluntary")</f>
        <v>Voluntary</v>
      </c>
      <c r="N1347" s="4" t="s">
        <v>26</v>
      </c>
      <c r="O1347" s="41"/>
      <c r="P1347">
        <v>1</v>
      </c>
      <c r="Q1347" t="s">
        <v>173</v>
      </c>
    </row>
    <row r="1348" spans="1:17" x14ac:dyDescent="0.35">
      <c r="A1348" s="4">
        <v>7566</v>
      </c>
      <c r="B1348" s="5">
        <v>38917</v>
      </c>
      <c r="C1348" s="5">
        <v>43922</v>
      </c>
      <c r="D1348" s="4">
        <v>14</v>
      </c>
      <c r="E1348" s="6" t="str" cm="1">
        <f t="array" ref="E1348">_xlfn.IFS(D1348&lt;=5,"Newcomer",AND(D1348&gt;=6,D1348&lt;=10),"Proficient",D1348&gt;10,"Expert")</f>
        <v>Expert</v>
      </c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 t="str" cm="1">
        <f t="array" ref="M1348">_xlfn.IFS(L1348="Retirement","Voluntary",L1348="Resignation","Voluntary",L1348="Layoff","InVoluntary")</f>
        <v>InVoluntary</v>
      </c>
      <c r="N1348" s="4" t="s">
        <v>26</v>
      </c>
      <c r="O1348" s="41"/>
      <c r="P1348">
        <v>1</v>
      </c>
      <c r="Q1348" t="s">
        <v>174</v>
      </c>
    </row>
    <row r="1349" spans="1:17" x14ac:dyDescent="0.35">
      <c r="A1349" s="4">
        <v>7574</v>
      </c>
      <c r="B1349" s="5">
        <v>37568</v>
      </c>
      <c r="C1349" s="5">
        <v>43833</v>
      </c>
      <c r="D1349" s="4">
        <v>18</v>
      </c>
      <c r="E1349" s="6" t="str" cm="1">
        <f t="array" ref="E1349">_xlfn.IFS(D1349&lt;=5,"Newcomer",AND(D1349&gt;=6,D1349&lt;=10),"Proficient",D1349&gt;10,"Expert")</f>
        <v>Expert</v>
      </c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 t="str" cm="1">
        <f t="array" ref="M1349">_xlfn.IFS(L1349="Retirement","Voluntary",L1349="Resignation","Voluntary",L1349="Layoff","InVoluntary")</f>
        <v>Voluntary</v>
      </c>
      <c r="N1349" s="4" t="s">
        <v>26</v>
      </c>
      <c r="O1349" s="41"/>
      <c r="P1349">
        <v>1</v>
      </c>
      <c r="Q1349" t="s">
        <v>173</v>
      </c>
    </row>
    <row r="1350" spans="1:17" x14ac:dyDescent="0.35">
      <c r="A1350" s="4">
        <v>7584</v>
      </c>
      <c r="B1350" s="5">
        <v>34519</v>
      </c>
      <c r="C1350" s="5">
        <v>43960</v>
      </c>
      <c r="D1350" s="4">
        <v>26</v>
      </c>
      <c r="E1350" s="6" t="str" cm="1">
        <f t="array" ref="E1350">_xlfn.IFS(D1350&lt;=5,"Newcomer",AND(D1350&gt;=6,D1350&lt;=10),"Proficient",D1350&gt;10,"Expert")</f>
        <v>Expert</v>
      </c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 t="str" cm="1">
        <f t="array" ref="M1350">_xlfn.IFS(L1350="Retirement","Voluntary",L1350="Resignation","Voluntary",L1350="Layoff","InVoluntary")</f>
        <v>Voluntary</v>
      </c>
      <c r="N1350" s="4" t="s">
        <v>26</v>
      </c>
      <c r="O1350" s="41"/>
      <c r="P1350">
        <v>1</v>
      </c>
      <c r="Q1350" t="s">
        <v>173</v>
      </c>
    </row>
    <row r="1351" spans="1:17" x14ac:dyDescent="0.35">
      <c r="A1351" s="4">
        <v>7595</v>
      </c>
      <c r="B1351" s="5">
        <v>38131</v>
      </c>
      <c r="C1351" s="5">
        <v>44112</v>
      </c>
      <c r="D1351" s="4">
        <v>16</v>
      </c>
      <c r="E1351" s="6" t="str" cm="1">
        <f t="array" ref="E1351">_xlfn.IFS(D1351&lt;=5,"Newcomer",AND(D1351&gt;=6,D1351&lt;=10),"Proficient",D1351&gt;10,"Expert")</f>
        <v>Expert</v>
      </c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 t="str" cm="1">
        <f t="array" ref="M1351">_xlfn.IFS(L1351="Retirement","Voluntary",L1351="Resignation","Voluntary",L1351="Layoff","InVoluntary")</f>
        <v>Voluntary</v>
      </c>
      <c r="N1351" s="4" t="s">
        <v>26</v>
      </c>
      <c r="O1351" s="41"/>
      <c r="P1351">
        <v>1</v>
      </c>
      <c r="Q1351" t="s">
        <v>173</v>
      </c>
    </row>
    <row r="1352" spans="1:17" x14ac:dyDescent="0.35">
      <c r="A1352" s="4">
        <v>7598</v>
      </c>
      <c r="B1352" s="5">
        <v>34137</v>
      </c>
      <c r="C1352" s="5">
        <v>43996</v>
      </c>
      <c r="D1352" s="4">
        <v>27</v>
      </c>
      <c r="E1352" s="6" t="str" cm="1">
        <f t="array" ref="E1352">_xlfn.IFS(D1352&lt;=5,"Newcomer",AND(D1352&gt;=6,D1352&lt;=10),"Proficient",D1352&gt;10,"Expert")</f>
        <v>Expert</v>
      </c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 t="str" cm="1">
        <f t="array" ref="M1352">_xlfn.IFS(L1352="Retirement","Voluntary",L1352="Resignation","Voluntary",L1352="Layoff","InVoluntary")</f>
        <v>Voluntary</v>
      </c>
      <c r="N1352" s="4" t="s">
        <v>26</v>
      </c>
      <c r="O1352" s="41"/>
      <c r="P1352">
        <v>1</v>
      </c>
      <c r="Q1352" t="s">
        <v>173</v>
      </c>
    </row>
    <row r="1353" spans="1:17" x14ac:dyDescent="0.35">
      <c r="A1353" s="4">
        <v>7599</v>
      </c>
      <c r="B1353" s="5">
        <v>41941</v>
      </c>
      <c r="C1353" s="5">
        <v>43952</v>
      </c>
      <c r="D1353" s="4">
        <v>6</v>
      </c>
      <c r="E1353" s="6" t="str" cm="1">
        <f t="array" ref="E1353">_xlfn.IFS(D1353&lt;=5,"Newcomer",AND(D1353&gt;=6,D1353&lt;=10),"Proficient",D1353&gt;10,"Expert")</f>
        <v>Proficient</v>
      </c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 t="str" cm="1">
        <f t="array" ref="M1353">_xlfn.IFS(L1353="Retirement","Voluntary",L1353="Resignation","Voluntary",L1353="Layoff","InVoluntary")</f>
        <v>Voluntary</v>
      </c>
      <c r="N1353" s="4" t="s">
        <v>26</v>
      </c>
      <c r="O1353" s="41"/>
      <c r="P1353">
        <v>1</v>
      </c>
      <c r="Q1353" t="s">
        <v>173</v>
      </c>
    </row>
    <row r="1354" spans="1:17" x14ac:dyDescent="0.35">
      <c r="A1354" s="4">
        <v>7600</v>
      </c>
      <c r="B1354" s="5">
        <v>38450</v>
      </c>
      <c r="C1354" s="5">
        <v>44030</v>
      </c>
      <c r="D1354" s="4">
        <v>15</v>
      </c>
      <c r="E1354" s="6" t="str" cm="1">
        <f t="array" ref="E1354">_xlfn.IFS(D1354&lt;=5,"Newcomer",AND(D1354&gt;=6,D1354&lt;=10),"Proficient",D1354&gt;10,"Expert")</f>
        <v>Expert</v>
      </c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 t="str" cm="1">
        <f t="array" ref="M1354">_xlfn.IFS(L1354="Retirement","Voluntary",L1354="Resignation","Voluntary",L1354="Layoff","InVoluntary")</f>
        <v>Voluntary</v>
      </c>
      <c r="N1354" s="4" t="s">
        <v>26</v>
      </c>
      <c r="O1354" s="41"/>
      <c r="P1354">
        <v>1</v>
      </c>
      <c r="Q1354" t="s">
        <v>173</v>
      </c>
    </row>
    <row r="1355" spans="1:17" x14ac:dyDescent="0.35">
      <c r="A1355" s="4">
        <v>7601</v>
      </c>
      <c r="B1355" s="5">
        <v>35327</v>
      </c>
      <c r="C1355" s="5">
        <v>44082</v>
      </c>
      <c r="D1355" s="4">
        <v>24</v>
      </c>
      <c r="E1355" s="6" t="str" cm="1">
        <f t="array" ref="E1355">_xlfn.IFS(D1355&lt;=5,"Newcomer",AND(D1355&gt;=6,D1355&lt;=10),"Proficient",D1355&gt;10,"Expert")</f>
        <v>Expert</v>
      </c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 t="str" cm="1">
        <f t="array" ref="M1355">_xlfn.IFS(L1355="Retirement","Voluntary",L1355="Resignation","Voluntary",L1355="Layoff","InVoluntary")</f>
        <v>Voluntary</v>
      </c>
      <c r="N1355" s="4" t="s">
        <v>26</v>
      </c>
      <c r="O1355" s="41"/>
      <c r="P1355">
        <v>1</v>
      </c>
      <c r="Q1355" t="s">
        <v>173</v>
      </c>
    </row>
    <row r="1356" spans="1:17" x14ac:dyDescent="0.35">
      <c r="A1356" s="4">
        <v>7603</v>
      </c>
      <c r="B1356" s="5">
        <v>41558</v>
      </c>
      <c r="C1356" s="5">
        <v>44061</v>
      </c>
      <c r="D1356" s="4">
        <v>7</v>
      </c>
      <c r="E1356" s="6" t="str" cm="1">
        <f t="array" ref="E1356">_xlfn.IFS(D1356&lt;=5,"Newcomer",AND(D1356&gt;=6,D1356&lt;=10),"Proficient",D1356&gt;10,"Expert")</f>
        <v>Proficient</v>
      </c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 t="str" cm="1">
        <f t="array" ref="M1356">_xlfn.IFS(L1356="Retirement","Voluntary",L1356="Resignation","Voluntary",L1356="Layoff","InVoluntary")</f>
        <v>Voluntary</v>
      </c>
      <c r="N1356" s="4" t="s">
        <v>26</v>
      </c>
      <c r="O1356" s="41"/>
      <c r="P1356">
        <v>1</v>
      </c>
      <c r="Q1356" t="s">
        <v>173</v>
      </c>
    </row>
    <row r="1357" spans="1:17" x14ac:dyDescent="0.35">
      <c r="A1357" s="4">
        <v>7605</v>
      </c>
      <c r="B1357" s="5">
        <v>36272</v>
      </c>
      <c r="C1357" s="5">
        <v>44050</v>
      </c>
      <c r="D1357" s="4">
        <v>21</v>
      </c>
      <c r="E1357" s="6" t="str" cm="1">
        <f t="array" ref="E1357">_xlfn.IFS(D1357&lt;=5,"Newcomer",AND(D1357&gt;=6,D1357&lt;=10),"Proficient",D1357&gt;10,"Expert")</f>
        <v>Expert</v>
      </c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 t="str" cm="1">
        <f t="array" ref="M1357">_xlfn.IFS(L1357="Retirement","Voluntary",L1357="Resignation","Voluntary",L1357="Layoff","InVoluntary")</f>
        <v>Voluntary</v>
      </c>
      <c r="N1357" s="4" t="s">
        <v>26</v>
      </c>
      <c r="O1357" s="41"/>
      <c r="P1357">
        <v>1</v>
      </c>
      <c r="Q1357" t="s">
        <v>173</v>
      </c>
    </row>
    <row r="1358" spans="1:17" x14ac:dyDescent="0.35">
      <c r="A1358" s="4">
        <v>7608</v>
      </c>
      <c r="B1358" s="5">
        <v>34035</v>
      </c>
      <c r="C1358" s="5">
        <v>44059</v>
      </c>
      <c r="D1358" s="4">
        <v>27</v>
      </c>
      <c r="E1358" s="6" t="str" cm="1">
        <f t="array" ref="E1358">_xlfn.IFS(D1358&lt;=5,"Newcomer",AND(D1358&gt;=6,D1358&lt;=10),"Proficient",D1358&gt;10,"Expert")</f>
        <v>Expert</v>
      </c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 t="str" cm="1">
        <f t="array" ref="M1358">_xlfn.IFS(L1358="Retirement","Voluntary",L1358="Resignation","Voluntary",L1358="Layoff","InVoluntary")</f>
        <v>Voluntary</v>
      </c>
      <c r="N1358" s="4" t="s">
        <v>26</v>
      </c>
      <c r="O1358" s="41"/>
      <c r="P1358">
        <v>1</v>
      </c>
      <c r="Q1358" t="s">
        <v>173</v>
      </c>
    </row>
    <row r="1359" spans="1:17" x14ac:dyDescent="0.35">
      <c r="A1359" s="4">
        <v>7609</v>
      </c>
      <c r="B1359" s="5">
        <v>38215</v>
      </c>
      <c r="C1359" s="5">
        <v>43879</v>
      </c>
      <c r="D1359" s="4">
        <v>16</v>
      </c>
      <c r="E1359" s="6" t="str" cm="1">
        <f t="array" ref="E1359">_xlfn.IFS(D1359&lt;=5,"Newcomer",AND(D1359&gt;=6,D1359&lt;=10),"Proficient",D1359&gt;10,"Expert")</f>
        <v>Expert</v>
      </c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 t="str" cm="1">
        <f t="array" ref="M1359">_xlfn.IFS(L1359="Retirement","Voluntary",L1359="Resignation","Voluntary",L1359="Layoff","InVoluntary")</f>
        <v>Voluntary</v>
      </c>
      <c r="N1359" s="4" t="s">
        <v>26</v>
      </c>
      <c r="O1359" s="41"/>
      <c r="P1359">
        <v>1</v>
      </c>
      <c r="Q1359" t="s">
        <v>173</v>
      </c>
    </row>
    <row r="1360" spans="1:17" x14ac:dyDescent="0.35">
      <c r="A1360" s="4">
        <v>7610</v>
      </c>
      <c r="B1360" s="5">
        <v>36829</v>
      </c>
      <c r="C1360" s="5">
        <v>44184</v>
      </c>
      <c r="D1360" s="4">
        <v>20</v>
      </c>
      <c r="E1360" s="6" t="str" cm="1">
        <f t="array" ref="E1360">_xlfn.IFS(D1360&lt;=5,"Newcomer",AND(D1360&gt;=6,D1360&lt;=10),"Proficient",D1360&gt;10,"Expert")</f>
        <v>Expert</v>
      </c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 t="str" cm="1">
        <f t="array" ref="M1360">_xlfn.IFS(L1360="Retirement","Voluntary",L1360="Resignation","Voluntary",L1360="Layoff","InVoluntary")</f>
        <v>Voluntary</v>
      </c>
      <c r="N1360" s="4" t="s">
        <v>26</v>
      </c>
      <c r="O1360" s="41"/>
      <c r="P1360">
        <v>1</v>
      </c>
      <c r="Q1360" t="s">
        <v>173</v>
      </c>
    </row>
    <row r="1361" spans="1:17" x14ac:dyDescent="0.35">
      <c r="A1361" s="4">
        <v>7611</v>
      </c>
      <c r="B1361" s="5">
        <v>34516</v>
      </c>
      <c r="C1361" s="5">
        <v>44175</v>
      </c>
      <c r="D1361" s="4">
        <v>26</v>
      </c>
      <c r="E1361" s="6" t="str" cm="1">
        <f t="array" ref="E1361">_xlfn.IFS(D1361&lt;=5,"Newcomer",AND(D1361&gt;=6,D1361&lt;=10),"Proficient",D1361&gt;10,"Expert")</f>
        <v>Expert</v>
      </c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 t="str" cm="1">
        <f t="array" ref="M1361">_xlfn.IFS(L1361="Retirement","Voluntary",L1361="Resignation","Voluntary",L1361="Layoff","InVoluntary")</f>
        <v>Voluntary</v>
      </c>
      <c r="N1361" s="4" t="s">
        <v>26</v>
      </c>
      <c r="O1361" s="41"/>
      <c r="P1361">
        <v>1</v>
      </c>
      <c r="Q1361" t="s">
        <v>173</v>
      </c>
    </row>
    <row r="1362" spans="1:17" x14ac:dyDescent="0.35">
      <c r="A1362" s="4">
        <v>7612</v>
      </c>
      <c r="B1362" s="5">
        <v>38200</v>
      </c>
      <c r="C1362" s="5">
        <v>44081</v>
      </c>
      <c r="D1362" s="4">
        <v>16</v>
      </c>
      <c r="E1362" s="6" t="str" cm="1">
        <f t="array" ref="E1362">_xlfn.IFS(D1362&lt;=5,"Newcomer",AND(D1362&gt;=6,D1362&lt;=10),"Proficient",D1362&gt;10,"Expert")</f>
        <v>Expert</v>
      </c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 t="str" cm="1">
        <f t="array" ref="M1362">_xlfn.IFS(L1362="Retirement","Voluntary",L1362="Resignation","Voluntary",L1362="Layoff","InVoluntary")</f>
        <v>Voluntary</v>
      </c>
      <c r="N1362" s="4" t="s">
        <v>26</v>
      </c>
      <c r="O1362" s="41"/>
      <c r="P1362">
        <v>1</v>
      </c>
      <c r="Q1362" t="s">
        <v>173</v>
      </c>
    </row>
    <row r="1363" spans="1:17" x14ac:dyDescent="0.35">
      <c r="A1363" s="4">
        <v>7613</v>
      </c>
      <c r="B1363" s="5">
        <v>40692</v>
      </c>
      <c r="C1363" s="5">
        <v>43999</v>
      </c>
      <c r="D1363" s="4">
        <v>9</v>
      </c>
      <c r="E1363" s="6" t="str" cm="1">
        <f t="array" ref="E1363">_xlfn.IFS(D1363&lt;=5,"Newcomer",AND(D1363&gt;=6,D1363&lt;=10),"Proficient",D1363&gt;10,"Expert")</f>
        <v>Proficient</v>
      </c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 t="str" cm="1">
        <f t="array" ref="M1363">_xlfn.IFS(L1363="Retirement","Voluntary",L1363="Resignation","Voluntary",L1363="Layoff","InVoluntary")</f>
        <v>Voluntary</v>
      </c>
      <c r="N1363" s="4" t="s">
        <v>26</v>
      </c>
      <c r="O1363" s="41"/>
      <c r="P1363">
        <v>1</v>
      </c>
      <c r="Q1363" t="s">
        <v>173</v>
      </c>
    </row>
    <row r="1364" spans="1:17" x14ac:dyDescent="0.35">
      <c r="A1364" s="4">
        <v>7615</v>
      </c>
      <c r="B1364" s="5">
        <v>36677</v>
      </c>
      <c r="C1364" s="5">
        <v>44047</v>
      </c>
      <c r="D1364" s="4">
        <v>20</v>
      </c>
      <c r="E1364" s="6" t="str" cm="1">
        <f t="array" ref="E1364">_xlfn.IFS(D1364&lt;=5,"Newcomer",AND(D1364&gt;=6,D1364&lt;=10),"Proficient",D1364&gt;10,"Expert")</f>
        <v>Expert</v>
      </c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 t="str" cm="1">
        <f t="array" ref="M1364">_xlfn.IFS(L1364="Retirement","Voluntary",L1364="Resignation","Voluntary",L1364="Layoff","InVoluntary")</f>
        <v>Voluntary</v>
      </c>
      <c r="N1364" s="4" t="s">
        <v>26</v>
      </c>
      <c r="O1364" s="41"/>
      <c r="P1364">
        <v>1</v>
      </c>
      <c r="Q1364" t="s">
        <v>173</v>
      </c>
    </row>
    <row r="1365" spans="1:17" x14ac:dyDescent="0.35">
      <c r="A1365" s="4">
        <v>7617</v>
      </c>
      <c r="B1365" s="5">
        <v>37051</v>
      </c>
      <c r="C1365" s="5">
        <v>44030</v>
      </c>
      <c r="D1365" s="4">
        <v>19</v>
      </c>
      <c r="E1365" s="6" t="str" cm="1">
        <f t="array" ref="E1365">_xlfn.IFS(D1365&lt;=5,"Newcomer",AND(D1365&gt;=6,D1365&lt;=10),"Proficient",D1365&gt;10,"Expert")</f>
        <v>Expert</v>
      </c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 t="str" cm="1">
        <f t="array" ref="M1365">_xlfn.IFS(L1365="Retirement","Voluntary",L1365="Resignation","Voluntary",L1365="Layoff","InVoluntary")</f>
        <v>Voluntary</v>
      </c>
      <c r="N1365" s="4" t="s">
        <v>26</v>
      </c>
      <c r="O1365" s="41"/>
      <c r="P1365">
        <v>1</v>
      </c>
      <c r="Q1365" t="s">
        <v>173</v>
      </c>
    </row>
    <row r="1366" spans="1:17" x14ac:dyDescent="0.35">
      <c r="A1366" s="4">
        <v>7632</v>
      </c>
      <c r="B1366" s="5">
        <v>35462</v>
      </c>
      <c r="C1366" s="5">
        <v>44009</v>
      </c>
      <c r="D1366" s="4">
        <v>23</v>
      </c>
      <c r="E1366" s="6" t="str" cm="1">
        <f t="array" ref="E1366">_xlfn.IFS(D1366&lt;=5,"Newcomer",AND(D1366&gt;=6,D1366&lt;=10),"Proficient",D1366&gt;10,"Expert")</f>
        <v>Expert</v>
      </c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 t="str" cm="1">
        <f t="array" ref="M1366">_xlfn.IFS(L1366="Retirement","Voluntary",L1366="Resignation","Voluntary",L1366="Layoff","InVoluntary")</f>
        <v>InVoluntary</v>
      </c>
      <c r="N1366" s="4" t="s">
        <v>26</v>
      </c>
      <c r="O1366" s="41"/>
      <c r="P1366">
        <v>1</v>
      </c>
      <c r="Q1366" t="s">
        <v>174</v>
      </c>
    </row>
    <row r="1367" spans="1:17" x14ac:dyDescent="0.35">
      <c r="A1367" s="4">
        <v>7648</v>
      </c>
      <c r="B1367" s="5">
        <v>37047</v>
      </c>
      <c r="C1367" s="5">
        <v>43998</v>
      </c>
      <c r="D1367" s="4">
        <v>19</v>
      </c>
      <c r="E1367" s="6" t="str" cm="1">
        <f t="array" ref="E1367">_xlfn.IFS(D1367&lt;=5,"Newcomer",AND(D1367&gt;=6,D1367&lt;=10),"Proficient",D1367&gt;10,"Expert")</f>
        <v>Expert</v>
      </c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 t="str" cm="1">
        <f t="array" ref="M1367">_xlfn.IFS(L1367="Retirement","Voluntary",L1367="Resignation","Voluntary",L1367="Layoff","InVoluntary")</f>
        <v>InVoluntary</v>
      </c>
      <c r="N1367" s="4" t="s">
        <v>26</v>
      </c>
      <c r="O1367" s="41"/>
      <c r="P1367">
        <v>1</v>
      </c>
      <c r="Q1367" t="s">
        <v>174</v>
      </c>
    </row>
    <row r="1368" spans="1:17" x14ac:dyDescent="0.35">
      <c r="A1368" s="4">
        <v>7649</v>
      </c>
      <c r="B1368" s="5">
        <v>33169</v>
      </c>
      <c r="C1368" s="5">
        <v>43874</v>
      </c>
      <c r="D1368" s="4">
        <v>30</v>
      </c>
      <c r="E1368" s="6" t="str" cm="1">
        <f t="array" ref="E1368">_xlfn.IFS(D1368&lt;=5,"Newcomer",AND(D1368&gt;=6,D1368&lt;=10),"Proficient",D1368&gt;10,"Expert")</f>
        <v>Expert</v>
      </c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 t="str" cm="1">
        <f t="array" ref="M1368">_xlfn.IFS(L1368="Retirement","Voluntary",L1368="Resignation","Voluntary",L1368="Layoff","InVoluntary")</f>
        <v>InVoluntary</v>
      </c>
      <c r="N1368" s="4" t="s">
        <v>26</v>
      </c>
      <c r="O1368" s="41"/>
      <c r="P1368">
        <v>1</v>
      </c>
      <c r="Q1368" t="s">
        <v>174</v>
      </c>
    </row>
    <row r="1369" spans="1:17" x14ac:dyDescent="0.35">
      <c r="A1369" s="4">
        <v>7659</v>
      </c>
      <c r="B1369" s="5">
        <v>36857</v>
      </c>
      <c r="C1369" s="5">
        <v>43948</v>
      </c>
      <c r="D1369" s="4">
        <v>20</v>
      </c>
      <c r="E1369" s="6" t="str" cm="1">
        <f t="array" ref="E1369">_xlfn.IFS(D1369&lt;=5,"Newcomer",AND(D1369&gt;=6,D1369&lt;=10),"Proficient",D1369&gt;10,"Expert")</f>
        <v>Expert</v>
      </c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 t="str" cm="1">
        <f t="array" ref="M1369">_xlfn.IFS(L1369="Retirement","Voluntary",L1369="Resignation","Voluntary",L1369="Layoff","InVoluntary")</f>
        <v>Voluntary</v>
      </c>
      <c r="N1369" s="4" t="s">
        <v>26</v>
      </c>
      <c r="O1369" s="41"/>
      <c r="P1369">
        <v>1</v>
      </c>
      <c r="Q1369" t="s">
        <v>173</v>
      </c>
    </row>
    <row r="1370" spans="1:17" x14ac:dyDescent="0.35">
      <c r="A1370" s="4">
        <v>7677</v>
      </c>
      <c r="B1370" s="5">
        <v>35177</v>
      </c>
      <c r="C1370" s="5">
        <v>43944</v>
      </c>
      <c r="D1370" s="4">
        <v>24</v>
      </c>
      <c r="E1370" s="6" t="str" cm="1">
        <f t="array" ref="E1370">_xlfn.IFS(D1370&lt;=5,"Newcomer",AND(D1370&gt;=6,D1370&lt;=10),"Proficient",D1370&gt;10,"Expert")</f>
        <v>Expert</v>
      </c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 t="str" cm="1">
        <f t="array" ref="M1370">_xlfn.IFS(L1370="Retirement","Voluntary",L1370="Resignation","Voluntary",L1370="Layoff","InVoluntary")</f>
        <v>Voluntary</v>
      </c>
      <c r="N1370" s="4" t="s">
        <v>26</v>
      </c>
      <c r="O1370" s="41"/>
      <c r="P1370">
        <v>1</v>
      </c>
      <c r="Q1370" t="s">
        <v>173</v>
      </c>
    </row>
    <row r="1371" spans="1:17" x14ac:dyDescent="0.35">
      <c r="A1371" s="4">
        <v>7679</v>
      </c>
      <c r="B1371" s="5">
        <v>40111</v>
      </c>
      <c r="C1371" s="5">
        <v>44118</v>
      </c>
      <c r="D1371" s="4">
        <v>11</v>
      </c>
      <c r="E1371" s="6" t="str" cm="1">
        <f t="array" ref="E1371">_xlfn.IFS(D1371&lt;=5,"Newcomer",AND(D1371&gt;=6,D1371&lt;=10),"Proficient",D1371&gt;10,"Expert")</f>
        <v>Expert</v>
      </c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 t="str" cm="1">
        <f t="array" ref="M1371">_xlfn.IFS(L1371="Retirement","Voluntary",L1371="Resignation","Voluntary",L1371="Layoff","InVoluntary")</f>
        <v>Voluntary</v>
      </c>
      <c r="N1371" s="4" t="s">
        <v>26</v>
      </c>
      <c r="O1371" s="41"/>
      <c r="P1371">
        <v>1</v>
      </c>
      <c r="Q1371" t="s">
        <v>173</v>
      </c>
    </row>
    <row r="1372" spans="1:17" x14ac:dyDescent="0.35">
      <c r="A1372" s="4">
        <v>7680</v>
      </c>
      <c r="B1372" s="5">
        <v>37932</v>
      </c>
      <c r="C1372" s="5">
        <v>43849</v>
      </c>
      <c r="D1372" s="4">
        <v>17</v>
      </c>
      <c r="E1372" s="6" t="str" cm="1">
        <f t="array" ref="E1372">_xlfn.IFS(D1372&lt;=5,"Newcomer",AND(D1372&gt;=6,D1372&lt;=10),"Proficient",D1372&gt;10,"Expert")</f>
        <v>Expert</v>
      </c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 t="str" cm="1">
        <f t="array" ref="M1372">_xlfn.IFS(L1372="Retirement","Voluntary",L1372="Resignation","Voluntary",L1372="Layoff","InVoluntary")</f>
        <v>Voluntary</v>
      </c>
      <c r="N1372" s="4" t="s">
        <v>26</v>
      </c>
      <c r="O1372" s="41"/>
      <c r="P1372">
        <v>1</v>
      </c>
      <c r="Q1372" t="s">
        <v>173</v>
      </c>
    </row>
    <row r="1373" spans="1:17" x14ac:dyDescent="0.35">
      <c r="A1373" s="4">
        <v>7681</v>
      </c>
      <c r="B1373" s="5">
        <v>36686</v>
      </c>
      <c r="C1373" s="5">
        <v>43955</v>
      </c>
      <c r="D1373" s="4">
        <v>20</v>
      </c>
      <c r="E1373" s="6" t="str" cm="1">
        <f t="array" ref="E1373">_xlfn.IFS(D1373&lt;=5,"Newcomer",AND(D1373&gt;=6,D1373&lt;=10),"Proficient",D1373&gt;10,"Expert")</f>
        <v>Expert</v>
      </c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 t="str" cm="1">
        <f t="array" ref="M1373">_xlfn.IFS(L1373="Retirement","Voluntary",L1373="Resignation","Voluntary",L1373="Layoff","InVoluntary")</f>
        <v>Voluntary</v>
      </c>
      <c r="N1373" s="4" t="s">
        <v>26</v>
      </c>
      <c r="O1373" s="41"/>
      <c r="P1373">
        <v>1</v>
      </c>
      <c r="Q1373" t="s">
        <v>173</v>
      </c>
    </row>
    <row r="1374" spans="1:17" x14ac:dyDescent="0.35">
      <c r="A1374" s="4">
        <v>7682</v>
      </c>
      <c r="B1374" s="5">
        <v>34121</v>
      </c>
      <c r="C1374" s="5">
        <v>44066</v>
      </c>
      <c r="D1374" s="4">
        <v>27</v>
      </c>
      <c r="E1374" s="6" t="str" cm="1">
        <f t="array" ref="E1374">_xlfn.IFS(D1374&lt;=5,"Newcomer",AND(D1374&gt;=6,D1374&lt;=10),"Proficient",D1374&gt;10,"Expert")</f>
        <v>Expert</v>
      </c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 t="str" cm="1">
        <f t="array" ref="M1374">_xlfn.IFS(L1374="Retirement","Voluntary",L1374="Resignation","Voluntary",L1374="Layoff","InVoluntary")</f>
        <v>Voluntary</v>
      </c>
      <c r="N1374" s="4" t="s">
        <v>26</v>
      </c>
      <c r="O1374" s="41"/>
      <c r="P1374">
        <v>1</v>
      </c>
      <c r="Q1374" t="s">
        <v>173</v>
      </c>
    </row>
    <row r="1375" spans="1:17" x14ac:dyDescent="0.35">
      <c r="A1375" s="4">
        <v>7683</v>
      </c>
      <c r="B1375" s="5">
        <v>32888</v>
      </c>
      <c r="C1375" s="5">
        <v>43919</v>
      </c>
      <c r="D1375" s="4">
        <v>30</v>
      </c>
      <c r="E1375" s="6" t="str" cm="1">
        <f t="array" ref="E1375">_xlfn.IFS(D1375&lt;=5,"Newcomer",AND(D1375&gt;=6,D1375&lt;=10),"Proficient",D1375&gt;10,"Expert")</f>
        <v>Expert</v>
      </c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 t="str" cm="1">
        <f t="array" ref="M1375">_xlfn.IFS(L1375="Retirement","Voluntary",L1375="Resignation","Voluntary",L1375="Layoff","InVoluntary")</f>
        <v>Voluntary</v>
      </c>
      <c r="N1375" s="4" t="s">
        <v>26</v>
      </c>
      <c r="O1375" s="41"/>
      <c r="P1375">
        <v>1</v>
      </c>
      <c r="Q1375" t="s">
        <v>173</v>
      </c>
    </row>
    <row r="1376" spans="1:17" x14ac:dyDescent="0.35">
      <c r="A1376" s="4">
        <v>7685</v>
      </c>
      <c r="B1376" s="5">
        <v>40294</v>
      </c>
      <c r="C1376" s="5">
        <v>43936</v>
      </c>
      <c r="D1376" s="4">
        <v>10</v>
      </c>
      <c r="E1376" s="6" t="str" cm="1">
        <f t="array" ref="E1376">_xlfn.IFS(D1376&lt;=5,"Newcomer",AND(D1376&gt;=6,D1376&lt;=10),"Proficient",D1376&gt;10,"Expert")</f>
        <v>Proficient</v>
      </c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 t="str" cm="1">
        <f t="array" ref="M1376">_xlfn.IFS(L1376="Retirement","Voluntary",L1376="Resignation","Voluntary",L1376="Layoff","InVoluntary")</f>
        <v>Voluntary</v>
      </c>
      <c r="N1376" s="4" t="s">
        <v>26</v>
      </c>
      <c r="O1376" s="41"/>
      <c r="P1376">
        <v>1</v>
      </c>
      <c r="Q1376" t="s">
        <v>173</v>
      </c>
    </row>
    <row r="1377" spans="1:17" x14ac:dyDescent="0.35">
      <c r="A1377" s="4">
        <v>7686</v>
      </c>
      <c r="B1377" s="5">
        <v>36371</v>
      </c>
      <c r="C1377" s="5">
        <v>44030</v>
      </c>
      <c r="D1377" s="4">
        <v>21</v>
      </c>
      <c r="E1377" s="6" t="str" cm="1">
        <f t="array" ref="E1377">_xlfn.IFS(D1377&lt;=5,"Newcomer",AND(D1377&gt;=6,D1377&lt;=10),"Proficient",D1377&gt;10,"Expert")</f>
        <v>Expert</v>
      </c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 t="str" cm="1">
        <f t="array" ref="M1377">_xlfn.IFS(L1377="Retirement","Voluntary",L1377="Resignation","Voluntary",L1377="Layoff","InVoluntary")</f>
        <v>Voluntary</v>
      </c>
      <c r="N1377" s="4" t="s">
        <v>26</v>
      </c>
      <c r="O1377" s="41"/>
      <c r="P1377">
        <v>1</v>
      </c>
      <c r="Q1377" t="s">
        <v>173</v>
      </c>
    </row>
    <row r="1378" spans="1:17" x14ac:dyDescent="0.35">
      <c r="A1378" s="4">
        <v>7687</v>
      </c>
      <c r="B1378" s="5">
        <v>40458</v>
      </c>
      <c r="C1378" s="5">
        <v>43849</v>
      </c>
      <c r="D1378" s="4">
        <v>10</v>
      </c>
      <c r="E1378" s="6" t="str" cm="1">
        <f t="array" ref="E1378">_xlfn.IFS(D1378&lt;=5,"Newcomer",AND(D1378&gt;=6,D1378&lt;=10),"Proficient",D1378&gt;10,"Expert")</f>
        <v>Proficient</v>
      </c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 t="str" cm="1">
        <f t="array" ref="M1378">_xlfn.IFS(L1378="Retirement","Voluntary",L1378="Resignation","Voluntary",L1378="Layoff","InVoluntary")</f>
        <v>Voluntary</v>
      </c>
      <c r="N1378" s="4" t="s">
        <v>26</v>
      </c>
      <c r="O1378" s="41"/>
      <c r="P1378">
        <v>1</v>
      </c>
      <c r="Q1378" t="s">
        <v>173</v>
      </c>
    </row>
    <row r="1379" spans="1:17" x14ac:dyDescent="0.35">
      <c r="A1379" s="4">
        <v>7688</v>
      </c>
      <c r="B1379" s="5">
        <v>33124</v>
      </c>
      <c r="C1379" s="5">
        <v>44063</v>
      </c>
      <c r="D1379" s="4">
        <v>30</v>
      </c>
      <c r="E1379" s="6" t="str" cm="1">
        <f t="array" ref="E1379">_xlfn.IFS(D1379&lt;=5,"Newcomer",AND(D1379&gt;=6,D1379&lt;=10),"Proficient",D1379&gt;10,"Expert")</f>
        <v>Expert</v>
      </c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 t="str" cm="1">
        <f t="array" ref="M1379">_xlfn.IFS(L1379="Retirement","Voluntary",L1379="Resignation","Voluntary",L1379="Layoff","InVoluntary")</f>
        <v>InVoluntary</v>
      </c>
      <c r="N1379" s="4" t="s">
        <v>26</v>
      </c>
      <c r="O1379" s="41"/>
      <c r="P1379">
        <v>1</v>
      </c>
      <c r="Q1379" t="s">
        <v>174</v>
      </c>
    </row>
    <row r="1380" spans="1:17" x14ac:dyDescent="0.35">
      <c r="A1380" s="4">
        <v>7689</v>
      </c>
      <c r="B1380" s="5">
        <v>36897</v>
      </c>
      <c r="C1380" s="5">
        <v>43946</v>
      </c>
      <c r="D1380" s="4">
        <v>19</v>
      </c>
      <c r="E1380" s="6" t="str" cm="1">
        <f t="array" ref="E1380">_xlfn.IFS(D1380&lt;=5,"Newcomer",AND(D1380&gt;=6,D1380&lt;=10),"Proficient",D1380&gt;10,"Expert")</f>
        <v>Expert</v>
      </c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 t="str" cm="1">
        <f t="array" ref="M1380">_xlfn.IFS(L1380="Retirement","Voluntary",L1380="Resignation","Voluntary",L1380="Layoff","InVoluntary")</f>
        <v>Voluntary</v>
      </c>
      <c r="N1380" s="4" t="s">
        <v>26</v>
      </c>
      <c r="O1380" s="41"/>
      <c r="P1380">
        <v>1</v>
      </c>
      <c r="Q1380" t="s">
        <v>173</v>
      </c>
    </row>
    <row r="1381" spans="1:17" x14ac:dyDescent="0.35">
      <c r="A1381" s="4">
        <v>7690</v>
      </c>
      <c r="B1381" s="5">
        <v>35306</v>
      </c>
      <c r="C1381" s="5">
        <v>44111</v>
      </c>
      <c r="D1381" s="4">
        <v>24</v>
      </c>
      <c r="E1381" s="6" t="str" cm="1">
        <f t="array" ref="E1381">_xlfn.IFS(D1381&lt;=5,"Newcomer",AND(D1381&gt;=6,D1381&lt;=10),"Proficient",D1381&gt;10,"Expert")</f>
        <v>Expert</v>
      </c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 t="str" cm="1">
        <f t="array" ref="M1381">_xlfn.IFS(L1381="Retirement","Voluntary",L1381="Resignation","Voluntary",L1381="Layoff","InVoluntary")</f>
        <v>Voluntary</v>
      </c>
      <c r="N1381" s="4" t="s">
        <v>26</v>
      </c>
      <c r="O1381" s="41"/>
      <c r="P1381">
        <v>1</v>
      </c>
      <c r="Q1381" t="s">
        <v>173</v>
      </c>
    </row>
    <row r="1382" spans="1:17" x14ac:dyDescent="0.35">
      <c r="A1382" s="4">
        <v>7691</v>
      </c>
      <c r="B1382" s="5">
        <v>40553</v>
      </c>
      <c r="C1382" s="5">
        <v>43892</v>
      </c>
      <c r="D1382" s="4">
        <v>9</v>
      </c>
      <c r="E1382" s="6" t="str" cm="1">
        <f t="array" ref="E1382">_xlfn.IFS(D1382&lt;=5,"Newcomer",AND(D1382&gt;=6,D1382&lt;=10),"Proficient",D1382&gt;10,"Expert")</f>
        <v>Proficient</v>
      </c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 t="str" cm="1">
        <f t="array" ref="M1382">_xlfn.IFS(L1382="Retirement","Voluntary",L1382="Resignation","Voluntary",L1382="Layoff","InVoluntary")</f>
        <v>Voluntary</v>
      </c>
      <c r="N1382" s="4" t="s">
        <v>26</v>
      </c>
      <c r="O1382" s="41"/>
      <c r="P1382">
        <v>1</v>
      </c>
      <c r="Q1382" t="s">
        <v>173</v>
      </c>
    </row>
    <row r="1383" spans="1:17" x14ac:dyDescent="0.35">
      <c r="A1383" s="4">
        <v>7694</v>
      </c>
      <c r="B1383" s="5">
        <v>41482</v>
      </c>
      <c r="C1383" s="5">
        <v>43916</v>
      </c>
      <c r="D1383" s="4">
        <v>7</v>
      </c>
      <c r="E1383" s="6" t="str" cm="1">
        <f t="array" ref="E1383">_xlfn.IFS(D1383&lt;=5,"Newcomer",AND(D1383&gt;=6,D1383&lt;=10),"Proficient",D1383&gt;10,"Expert")</f>
        <v>Proficient</v>
      </c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 t="str" cm="1">
        <f t="array" ref="M1383">_xlfn.IFS(L1383="Retirement","Voluntary",L1383="Resignation","Voluntary",L1383="Layoff","InVoluntary")</f>
        <v>Voluntary</v>
      </c>
      <c r="N1383" s="4" t="s">
        <v>26</v>
      </c>
      <c r="O1383" s="41"/>
      <c r="P1383">
        <v>1</v>
      </c>
      <c r="Q1383" t="s">
        <v>173</v>
      </c>
    </row>
    <row r="1384" spans="1:17" x14ac:dyDescent="0.35">
      <c r="A1384" s="4">
        <v>7695</v>
      </c>
      <c r="B1384" s="5">
        <v>41503</v>
      </c>
      <c r="C1384" s="5">
        <v>44069</v>
      </c>
      <c r="D1384" s="4">
        <v>7</v>
      </c>
      <c r="E1384" s="6" t="str" cm="1">
        <f t="array" ref="E1384">_xlfn.IFS(D1384&lt;=5,"Newcomer",AND(D1384&gt;=6,D1384&lt;=10),"Proficient",D1384&gt;10,"Expert")</f>
        <v>Proficient</v>
      </c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 t="str" cm="1">
        <f t="array" ref="M1384">_xlfn.IFS(L1384="Retirement","Voluntary",L1384="Resignation","Voluntary",L1384="Layoff","InVoluntary")</f>
        <v>Voluntary</v>
      </c>
      <c r="N1384" s="4" t="s">
        <v>26</v>
      </c>
      <c r="O1384" s="41"/>
      <c r="P1384">
        <v>1</v>
      </c>
      <c r="Q1384" t="s">
        <v>173</v>
      </c>
    </row>
    <row r="1385" spans="1:17" x14ac:dyDescent="0.35">
      <c r="A1385" s="4">
        <v>7696</v>
      </c>
      <c r="B1385" s="5">
        <v>36454</v>
      </c>
      <c r="C1385" s="5">
        <v>43872</v>
      </c>
      <c r="D1385" s="4">
        <v>21</v>
      </c>
      <c r="E1385" s="6" t="str" cm="1">
        <f t="array" ref="E1385">_xlfn.IFS(D1385&lt;=5,"Newcomer",AND(D1385&gt;=6,D1385&lt;=10),"Proficient",D1385&gt;10,"Expert")</f>
        <v>Expert</v>
      </c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 t="str" cm="1">
        <f t="array" ref="M1385">_xlfn.IFS(L1385="Retirement","Voluntary",L1385="Resignation","Voluntary",L1385="Layoff","InVoluntary")</f>
        <v>Voluntary</v>
      </c>
      <c r="N1385" s="4" t="s">
        <v>26</v>
      </c>
      <c r="O1385" s="41"/>
      <c r="P1385">
        <v>1</v>
      </c>
      <c r="Q1385" t="s">
        <v>173</v>
      </c>
    </row>
    <row r="1386" spans="1:17" x14ac:dyDescent="0.35">
      <c r="A1386" s="4">
        <v>7719</v>
      </c>
      <c r="B1386" s="5">
        <v>39059</v>
      </c>
      <c r="C1386" s="5">
        <v>43848</v>
      </c>
      <c r="D1386" s="4">
        <v>14</v>
      </c>
      <c r="E1386" s="6" t="str" cm="1">
        <f t="array" ref="E1386">_xlfn.IFS(D1386&lt;=5,"Newcomer",AND(D1386&gt;=6,D1386&lt;=10),"Proficient",D1386&gt;10,"Expert")</f>
        <v>Expert</v>
      </c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 t="str" cm="1">
        <f t="array" ref="M1386">_xlfn.IFS(L1386="Retirement","Voluntary",L1386="Resignation","Voluntary",L1386="Layoff","InVoluntary")</f>
        <v>InVoluntary</v>
      </c>
      <c r="N1386" s="4" t="s">
        <v>26</v>
      </c>
      <c r="O1386" s="41"/>
      <c r="P1386">
        <v>1</v>
      </c>
      <c r="Q1386" t="s">
        <v>174</v>
      </c>
    </row>
    <row r="1387" spans="1:17" x14ac:dyDescent="0.35">
      <c r="A1387" s="4">
        <v>7726</v>
      </c>
      <c r="B1387" s="5">
        <v>36157</v>
      </c>
      <c r="C1387" s="5">
        <v>43981</v>
      </c>
      <c r="D1387" s="4">
        <v>22</v>
      </c>
      <c r="E1387" s="6" t="str" cm="1">
        <f t="array" ref="E1387">_xlfn.IFS(D1387&lt;=5,"Newcomer",AND(D1387&gt;=6,D1387&lt;=10),"Proficient",D1387&gt;10,"Expert")</f>
        <v>Expert</v>
      </c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 t="str" cm="1">
        <f t="array" ref="M1387">_xlfn.IFS(L1387="Retirement","Voluntary",L1387="Resignation","Voluntary",L1387="Layoff","InVoluntary")</f>
        <v>Voluntary</v>
      </c>
      <c r="N1387" s="4" t="s">
        <v>26</v>
      </c>
      <c r="O1387" s="41"/>
      <c r="P1387">
        <v>1</v>
      </c>
      <c r="Q1387" t="s">
        <v>173</v>
      </c>
    </row>
    <row r="1388" spans="1:17" x14ac:dyDescent="0.35">
      <c r="A1388" s="4">
        <v>7741</v>
      </c>
      <c r="B1388" s="5">
        <v>33989</v>
      </c>
      <c r="C1388" s="5">
        <v>43906</v>
      </c>
      <c r="D1388" s="4">
        <v>27</v>
      </c>
      <c r="E1388" s="6" t="str" cm="1">
        <f t="array" ref="E1388">_xlfn.IFS(D1388&lt;=5,"Newcomer",AND(D1388&gt;=6,D1388&lt;=10),"Proficient",D1388&gt;10,"Expert")</f>
        <v>Expert</v>
      </c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 t="str" cm="1">
        <f t="array" ref="M1388">_xlfn.IFS(L1388="Retirement","Voluntary",L1388="Resignation","Voluntary",L1388="Layoff","InVoluntary")</f>
        <v>Voluntary</v>
      </c>
      <c r="N1388" s="4" t="s">
        <v>26</v>
      </c>
      <c r="O1388" s="41"/>
      <c r="P1388">
        <v>1</v>
      </c>
      <c r="Q1388" t="s">
        <v>173</v>
      </c>
    </row>
    <row r="1389" spans="1:17" x14ac:dyDescent="0.35">
      <c r="A1389" s="4">
        <v>7752</v>
      </c>
      <c r="B1389" s="5">
        <v>37525</v>
      </c>
      <c r="C1389" s="5">
        <v>44045</v>
      </c>
      <c r="D1389" s="4">
        <v>18</v>
      </c>
      <c r="E1389" s="6" t="str" cm="1">
        <f t="array" ref="E1389">_xlfn.IFS(D1389&lt;=5,"Newcomer",AND(D1389&gt;=6,D1389&lt;=10),"Proficient",D1389&gt;10,"Expert")</f>
        <v>Expert</v>
      </c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 t="str" cm="1">
        <f t="array" ref="M1389">_xlfn.IFS(L1389="Retirement","Voluntary",L1389="Resignation","Voluntary",L1389="Layoff","InVoluntary")</f>
        <v>InVoluntary</v>
      </c>
      <c r="N1389" s="4" t="s">
        <v>26</v>
      </c>
      <c r="O1389" s="41"/>
      <c r="P1389">
        <v>1</v>
      </c>
      <c r="Q1389" t="s">
        <v>174</v>
      </c>
    </row>
    <row r="1390" spans="1:17" x14ac:dyDescent="0.35">
      <c r="A1390" s="4">
        <v>7758</v>
      </c>
      <c r="B1390" s="5">
        <v>41664</v>
      </c>
      <c r="C1390" s="5">
        <v>44098</v>
      </c>
      <c r="D1390" s="4">
        <v>6</v>
      </c>
      <c r="E1390" s="6" t="str" cm="1">
        <f t="array" ref="E1390">_xlfn.IFS(D1390&lt;=5,"Newcomer",AND(D1390&gt;=6,D1390&lt;=10),"Proficient",D1390&gt;10,"Expert")</f>
        <v>Proficient</v>
      </c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 t="str" cm="1">
        <f t="array" ref="M1390">_xlfn.IFS(L1390="Retirement","Voluntary",L1390="Resignation","Voluntary",L1390="Layoff","InVoluntary")</f>
        <v>InVoluntary</v>
      </c>
      <c r="N1390" s="4" t="s">
        <v>26</v>
      </c>
      <c r="O1390" s="41"/>
      <c r="P1390">
        <v>1</v>
      </c>
      <c r="Q1390" t="s">
        <v>174</v>
      </c>
    </row>
    <row r="1391" spans="1:17" x14ac:dyDescent="0.35">
      <c r="A1391" s="4">
        <v>7765</v>
      </c>
      <c r="B1391" s="5">
        <v>39878</v>
      </c>
      <c r="C1391" s="5">
        <v>43900</v>
      </c>
      <c r="D1391" s="4">
        <v>11</v>
      </c>
      <c r="E1391" s="6" t="str" cm="1">
        <f t="array" ref="E1391">_xlfn.IFS(D1391&lt;=5,"Newcomer",AND(D1391&gt;=6,D1391&lt;=10),"Proficient",D1391&gt;10,"Expert")</f>
        <v>Expert</v>
      </c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 t="str" cm="1">
        <f t="array" ref="M1391">_xlfn.IFS(L1391="Retirement","Voluntary",L1391="Resignation","Voluntary",L1391="Layoff","InVoluntary")</f>
        <v>Voluntary</v>
      </c>
      <c r="N1391" s="4" t="s">
        <v>26</v>
      </c>
      <c r="O1391" s="41"/>
      <c r="P1391">
        <v>1</v>
      </c>
      <c r="Q1391" t="s">
        <v>173</v>
      </c>
    </row>
    <row r="1392" spans="1:17" x14ac:dyDescent="0.35">
      <c r="A1392" s="4">
        <v>7778</v>
      </c>
      <c r="B1392" s="5">
        <v>34865</v>
      </c>
      <c r="C1392" s="5">
        <v>43873</v>
      </c>
      <c r="D1392" s="4">
        <v>25</v>
      </c>
      <c r="E1392" s="6" t="str" cm="1">
        <f t="array" ref="E1392">_xlfn.IFS(D1392&lt;=5,"Newcomer",AND(D1392&gt;=6,D1392&lt;=10),"Proficient",D1392&gt;10,"Expert")</f>
        <v>Expert</v>
      </c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 t="str" cm="1">
        <f t="array" ref="M1392">_xlfn.IFS(L1392="Retirement","Voluntary",L1392="Resignation","Voluntary",L1392="Layoff","InVoluntary")</f>
        <v>InVoluntary</v>
      </c>
      <c r="N1392" s="4" t="s">
        <v>26</v>
      </c>
      <c r="O1392" s="41"/>
      <c r="P1392">
        <v>1</v>
      </c>
      <c r="Q1392" t="s">
        <v>174</v>
      </c>
    </row>
    <row r="1393" spans="1:17" x14ac:dyDescent="0.35">
      <c r="A1393" s="4">
        <v>7797</v>
      </c>
      <c r="B1393" s="5">
        <v>39864</v>
      </c>
      <c r="C1393" s="5">
        <v>44075</v>
      </c>
      <c r="D1393" s="4">
        <v>11</v>
      </c>
      <c r="E1393" s="6" t="str" cm="1">
        <f t="array" ref="E1393">_xlfn.IFS(D1393&lt;=5,"Newcomer",AND(D1393&gt;=6,D1393&lt;=10),"Proficient",D1393&gt;10,"Expert")</f>
        <v>Expert</v>
      </c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 t="str" cm="1">
        <f t="array" ref="M1393">_xlfn.IFS(L1393="Retirement","Voluntary",L1393="Resignation","Voluntary",L1393="Layoff","InVoluntary")</f>
        <v>InVoluntary</v>
      </c>
      <c r="N1393" s="4" t="s">
        <v>26</v>
      </c>
      <c r="O1393" s="41"/>
      <c r="P1393">
        <v>1</v>
      </c>
      <c r="Q1393" t="s">
        <v>174</v>
      </c>
    </row>
    <row r="1394" spans="1:17" x14ac:dyDescent="0.35">
      <c r="A1394" s="4">
        <v>7798</v>
      </c>
      <c r="B1394" s="5">
        <v>36962</v>
      </c>
      <c r="C1394" s="5">
        <v>44042</v>
      </c>
      <c r="D1394" s="4">
        <v>19</v>
      </c>
      <c r="E1394" s="6" t="str" cm="1">
        <f t="array" ref="E1394">_xlfn.IFS(D1394&lt;=5,"Newcomer",AND(D1394&gt;=6,D1394&lt;=10),"Proficient",D1394&gt;10,"Expert")</f>
        <v>Expert</v>
      </c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 t="str" cm="1">
        <f t="array" ref="M1394">_xlfn.IFS(L1394="Retirement","Voluntary",L1394="Resignation","Voluntary",L1394="Layoff","InVoluntary")</f>
        <v>Voluntary</v>
      </c>
      <c r="N1394" s="4" t="s">
        <v>26</v>
      </c>
      <c r="O1394" s="41"/>
      <c r="P1394">
        <v>1</v>
      </c>
      <c r="Q1394" t="s">
        <v>173</v>
      </c>
    </row>
    <row r="1395" spans="1:17" x14ac:dyDescent="0.35">
      <c r="A1395" s="4">
        <v>7801</v>
      </c>
      <c r="B1395" s="5">
        <v>37211</v>
      </c>
      <c r="C1395" s="5">
        <v>44160</v>
      </c>
      <c r="D1395" s="4">
        <v>19</v>
      </c>
      <c r="E1395" s="6" t="str" cm="1">
        <f t="array" ref="E1395">_xlfn.IFS(D1395&lt;=5,"Newcomer",AND(D1395&gt;=6,D1395&lt;=10),"Proficient",D1395&gt;10,"Expert")</f>
        <v>Expert</v>
      </c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 t="str" cm="1">
        <f t="array" ref="M1395">_xlfn.IFS(L1395="Retirement","Voluntary",L1395="Resignation","Voluntary",L1395="Layoff","InVoluntary")</f>
        <v>Voluntary</v>
      </c>
      <c r="N1395" s="4" t="s">
        <v>26</v>
      </c>
      <c r="O1395" s="41"/>
      <c r="P1395">
        <v>1</v>
      </c>
      <c r="Q1395" t="s">
        <v>173</v>
      </c>
    </row>
    <row r="1396" spans="1:17" x14ac:dyDescent="0.35">
      <c r="A1396" s="4">
        <v>7805</v>
      </c>
      <c r="B1396" s="5">
        <v>35760</v>
      </c>
      <c r="C1396" s="5">
        <v>43885</v>
      </c>
      <c r="D1396" s="4">
        <v>23</v>
      </c>
      <c r="E1396" s="6" t="str" cm="1">
        <f t="array" ref="E1396">_xlfn.IFS(D1396&lt;=5,"Newcomer",AND(D1396&gt;=6,D1396&lt;=10),"Proficient",D1396&gt;10,"Expert")</f>
        <v>Expert</v>
      </c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 t="str" cm="1">
        <f t="array" ref="M1396">_xlfn.IFS(L1396="Retirement","Voluntary",L1396="Resignation","Voluntary",L1396="Layoff","InVoluntary")</f>
        <v>InVoluntary</v>
      </c>
      <c r="N1396" s="4" t="s">
        <v>26</v>
      </c>
      <c r="O1396" s="41"/>
      <c r="P1396">
        <v>1</v>
      </c>
      <c r="Q1396" t="s">
        <v>174</v>
      </c>
    </row>
    <row r="1397" spans="1:17" x14ac:dyDescent="0.35">
      <c r="A1397" s="4">
        <v>7842</v>
      </c>
      <c r="B1397" s="5">
        <v>38909</v>
      </c>
      <c r="C1397" s="5">
        <v>43946</v>
      </c>
      <c r="D1397" s="4">
        <v>14</v>
      </c>
      <c r="E1397" s="6" t="str" cm="1">
        <f t="array" ref="E1397">_xlfn.IFS(D1397&lt;=5,"Newcomer",AND(D1397&gt;=6,D1397&lt;=10),"Proficient",D1397&gt;10,"Expert")</f>
        <v>Expert</v>
      </c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 t="str" cm="1">
        <f t="array" ref="M1397">_xlfn.IFS(L1397="Retirement","Voluntary",L1397="Resignation","Voluntary",L1397="Layoff","InVoluntary")</f>
        <v>Voluntary</v>
      </c>
      <c r="N1397" s="4" t="s">
        <v>26</v>
      </c>
      <c r="O1397" s="41"/>
      <c r="P1397">
        <v>1</v>
      </c>
      <c r="Q1397" t="s">
        <v>173</v>
      </c>
    </row>
    <row r="1398" spans="1:17" x14ac:dyDescent="0.35">
      <c r="A1398" s="4">
        <v>7844</v>
      </c>
      <c r="B1398" s="5">
        <v>40383</v>
      </c>
      <c r="C1398" s="5">
        <v>44086</v>
      </c>
      <c r="D1398" s="4">
        <v>10</v>
      </c>
      <c r="E1398" s="6" t="str" cm="1">
        <f t="array" ref="E1398">_xlfn.IFS(D1398&lt;=5,"Newcomer",AND(D1398&gt;=6,D1398&lt;=10),"Proficient",D1398&gt;10,"Expert")</f>
        <v>Proficient</v>
      </c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 t="str" cm="1">
        <f t="array" ref="M1398">_xlfn.IFS(L1398="Retirement","Voluntary",L1398="Resignation","Voluntary",L1398="Layoff","InVoluntary")</f>
        <v>Voluntary</v>
      </c>
      <c r="N1398" s="4" t="s">
        <v>26</v>
      </c>
      <c r="O1398" s="41"/>
      <c r="P1398">
        <v>1</v>
      </c>
      <c r="Q1398" t="s">
        <v>173</v>
      </c>
    </row>
    <row r="1399" spans="1:17" x14ac:dyDescent="0.35">
      <c r="A1399" s="4">
        <v>7854</v>
      </c>
      <c r="B1399" s="5">
        <v>37958</v>
      </c>
      <c r="C1399" s="5">
        <v>44063</v>
      </c>
      <c r="D1399" s="4">
        <v>17</v>
      </c>
      <c r="E1399" s="6" t="str" cm="1">
        <f t="array" ref="E1399">_xlfn.IFS(D1399&lt;=5,"Newcomer",AND(D1399&gt;=6,D1399&lt;=10),"Proficient",D1399&gt;10,"Expert")</f>
        <v>Expert</v>
      </c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 t="str" cm="1">
        <f t="array" ref="M1399">_xlfn.IFS(L1399="Retirement","Voluntary",L1399="Resignation","Voluntary",L1399="Layoff","InVoluntary")</f>
        <v>InVoluntary</v>
      </c>
      <c r="N1399" s="4" t="s">
        <v>26</v>
      </c>
      <c r="O1399" s="41"/>
      <c r="P1399">
        <v>1</v>
      </c>
      <c r="Q1399" t="s">
        <v>174</v>
      </c>
    </row>
    <row r="1400" spans="1:17" x14ac:dyDescent="0.35">
      <c r="A1400" s="4">
        <v>7856</v>
      </c>
      <c r="B1400" s="5">
        <v>38231</v>
      </c>
      <c r="C1400" s="5">
        <v>43861</v>
      </c>
      <c r="D1400" s="4">
        <v>16</v>
      </c>
      <c r="E1400" s="6" t="str" cm="1">
        <f t="array" ref="E1400">_xlfn.IFS(D1400&lt;=5,"Newcomer",AND(D1400&gt;=6,D1400&lt;=10),"Proficient",D1400&gt;10,"Expert")</f>
        <v>Expert</v>
      </c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 t="str" cm="1">
        <f t="array" ref="M1400">_xlfn.IFS(L1400="Retirement","Voluntary",L1400="Resignation","Voluntary",L1400="Layoff","InVoluntary")</f>
        <v>InVoluntary</v>
      </c>
      <c r="N1400" s="4" t="s">
        <v>26</v>
      </c>
      <c r="O1400" s="41"/>
      <c r="P1400">
        <v>1</v>
      </c>
      <c r="Q1400" t="s">
        <v>174</v>
      </c>
    </row>
    <row r="1401" spans="1:17" x14ac:dyDescent="0.35">
      <c r="A1401" s="4">
        <v>7911</v>
      </c>
      <c r="B1401" s="5">
        <v>36710</v>
      </c>
      <c r="C1401" s="5">
        <v>43878</v>
      </c>
      <c r="D1401" s="4">
        <v>20</v>
      </c>
      <c r="E1401" s="6" t="str" cm="1">
        <f t="array" ref="E1401">_xlfn.IFS(D1401&lt;=5,"Newcomer",AND(D1401&gt;=6,D1401&lt;=10),"Proficient",D1401&gt;10,"Expert")</f>
        <v>Expert</v>
      </c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 t="str" cm="1">
        <f t="array" ref="M1401">_xlfn.IFS(L1401="Retirement","Voluntary",L1401="Resignation","Voluntary",L1401="Layoff","InVoluntary")</f>
        <v>InVoluntary</v>
      </c>
      <c r="N1401" s="4" t="s">
        <v>26</v>
      </c>
      <c r="O1401" s="41"/>
      <c r="P1401">
        <v>1</v>
      </c>
      <c r="Q1401" t="s">
        <v>174</v>
      </c>
    </row>
    <row r="1402" spans="1:17" x14ac:dyDescent="0.35">
      <c r="A1402" s="4">
        <v>7937</v>
      </c>
      <c r="B1402" s="5">
        <v>41859</v>
      </c>
      <c r="C1402" s="5">
        <v>43966</v>
      </c>
      <c r="D1402" s="4">
        <v>6</v>
      </c>
      <c r="E1402" s="6" t="str" cm="1">
        <f t="array" ref="E1402">_xlfn.IFS(D1402&lt;=5,"Newcomer",AND(D1402&gt;=6,D1402&lt;=10),"Proficient",D1402&gt;10,"Expert")</f>
        <v>Proficient</v>
      </c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 t="str" cm="1">
        <f t="array" ref="M1402">_xlfn.IFS(L1402="Retirement","Voluntary",L1402="Resignation","Voluntary",L1402="Layoff","InVoluntary")</f>
        <v>Voluntary</v>
      </c>
      <c r="N1402" s="4" t="s">
        <v>26</v>
      </c>
      <c r="O1402" s="41"/>
      <c r="P1402">
        <v>1</v>
      </c>
      <c r="Q1402" t="s">
        <v>173</v>
      </c>
    </row>
    <row r="1403" spans="1:17" x14ac:dyDescent="0.35">
      <c r="A1403" s="4">
        <v>7949</v>
      </c>
      <c r="B1403" s="5">
        <v>40050</v>
      </c>
      <c r="C1403" s="5">
        <v>43843</v>
      </c>
      <c r="D1403" s="4">
        <v>11</v>
      </c>
      <c r="E1403" s="6" t="str" cm="1">
        <f t="array" ref="E1403">_xlfn.IFS(D1403&lt;=5,"Newcomer",AND(D1403&gt;=6,D1403&lt;=10),"Proficient",D1403&gt;10,"Expert")</f>
        <v>Expert</v>
      </c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 t="str" cm="1">
        <f t="array" ref="M1403">_xlfn.IFS(L1403="Retirement","Voluntary",L1403="Resignation","Voluntary",L1403="Layoff","InVoluntary")</f>
        <v>InVoluntary</v>
      </c>
      <c r="N1403" s="4" t="s">
        <v>26</v>
      </c>
      <c r="O1403" s="41"/>
      <c r="P1403">
        <v>1</v>
      </c>
      <c r="Q1403" t="s">
        <v>174</v>
      </c>
    </row>
    <row r="1404" spans="1:17" x14ac:dyDescent="0.35">
      <c r="A1404" s="4">
        <v>7973</v>
      </c>
      <c r="B1404" s="5">
        <v>35167</v>
      </c>
      <c r="C1404" s="5">
        <v>43879</v>
      </c>
      <c r="D1404" s="4">
        <v>24</v>
      </c>
      <c r="E1404" s="6" t="str" cm="1">
        <f t="array" ref="E1404">_xlfn.IFS(D1404&lt;=5,"Newcomer",AND(D1404&gt;=6,D1404&lt;=10),"Proficient",D1404&gt;10,"Expert")</f>
        <v>Expert</v>
      </c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 t="str" cm="1">
        <f t="array" ref="M1404">_xlfn.IFS(L1404="Retirement","Voluntary",L1404="Resignation","Voluntary",L1404="Layoff","InVoluntary")</f>
        <v>InVoluntary</v>
      </c>
      <c r="N1404" s="4" t="s">
        <v>26</v>
      </c>
      <c r="O1404" s="41"/>
      <c r="P1404">
        <v>1</v>
      </c>
      <c r="Q1404" t="s">
        <v>174</v>
      </c>
    </row>
    <row r="1405" spans="1:17" x14ac:dyDescent="0.35">
      <c r="A1405" s="4">
        <v>7976</v>
      </c>
      <c r="B1405" s="5">
        <v>42241</v>
      </c>
      <c r="C1405" s="5">
        <v>44058</v>
      </c>
      <c r="D1405" s="4">
        <v>5</v>
      </c>
      <c r="E1405" s="6" t="str" cm="1">
        <f t="array" ref="E1405">_xlfn.IFS(D1405&lt;=5,"Newcomer",AND(D1405&gt;=6,D1405&lt;=10),"Proficient",D1405&gt;10,"Expert")</f>
        <v>Newcomer</v>
      </c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 t="str" cm="1">
        <f t="array" ref="M1405">_xlfn.IFS(L1405="Retirement","Voluntary",L1405="Resignation","Voluntary",L1405="Layoff","InVoluntary")</f>
        <v>InVoluntary</v>
      </c>
      <c r="N1405" s="4" t="s">
        <v>26</v>
      </c>
      <c r="O1405" s="41"/>
      <c r="P1405">
        <v>1</v>
      </c>
      <c r="Q1405" t="s">
        <v>174</v>
      </c>
    </row>
    <row r="1406" spans="1:17" x14ac:dyDescent="0.35">
      <c r="A1406" s="4">
        <v>7997</v>
      </c>
      <c r="B1406" s="5">
        <v>33248</v>
      </c>
      <c r="C1406" s="5">
        <v>44095</v>
      </c>
      <c r="D1406" s="4">
        <v>29</v>
      </c>
      <c r="E1406" s="6" t="str" cm="1">
        <f t="array" ref="E1406">_xlfn.IFS(D1406&lt;=5,"Newcomer",AND(D1406&gt;=6,D1406&lt;=10),"Proficient",D1406&gt;10,"Expert")</f>
        <v>Expert</v>
      </c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 t="str" cm="1">
        <f t="array" ref="M1406">_xlfn.IFS(L1406="Retirement","Voluntary",L1406="Resignation","Voluntary",L1406="Layoff","InVoluntary")</f>
        <v>InVoluntary</v>
      </c>
      <c r="N1406" s="4" t="s">
        <v>26</v>
      </c>
      <c r="O1406" s="41"/>
      <c r="P1406">
        <v>1</v>
      </c>
      <c r="Q1406" t="s">
        <v>174</v>
      </c>
    </row>
    <row r="1407" spans="1:17" x14ac:dyDescent="0.35">
      <c r="A1407" s="4">
        <v>8008</v>
      </c>
      <c r="B1407" s="5">
        <v>42096</v>
      </c>
      <c r="C1407" s="5">
        <v>43930</v>
      </c>
      <c r="D1407" s="4">
        <v>5</v>
      </c>
      <c r="E1407" s="6" t="str" cm="1">
        <f t="array" ref="E1407">_xlfn.IFS(D1407&lt;=5,"Newcomer",AND(D1407&gt;=6,D1407&lt;=10),"Proficient",D1407&gt;10,"Expert")</f>
        <v>Newcomer</v>
      </c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 t="str" cm="1">
        <f t="array" ref="M1407">_xlfn.IFS(L1407="Retirement","Voluntary",L1407="Resignation","Voluntary",L1407="Layoff","InVoluntary")</f>
        <v>Voluntary</v>
      </c>
      <c r="N1407" s="4" t="s">
        <v>26</v>
      </c>
      <c r="O1407" s="41"/>
      <c r="P1407">
        <v>1</v>
      </c>
      <c r="Q1407" t="s">
        <v>173</v>
      </c>
    </row>
    <row r="1408" spans="1:17" x14ac:dyDescent="0.35">
      <c r="A1408" s="4">
        <v>8013</v>
      </c>
      <c r="B1408" s="5">
        <v>38645</v>
      </c>
      <c r="C1408" s="5">
        <v>43854</v>
      </c>
      <c r="D1408" s="4">
        <v>15</v>
      </c>
      <c r="E1408" s="6" t="str" cm="1">
        <f t="array" ref="E1408">_xlfn.IFS(D1408&lt;=5,"Newcomer",AND(D1408&gt;=6,D1408&lt;=10),"Proficient",D1408&gt;10,"Expert")</f>
        <v>Expert</v>
      </c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 t="str" cm="1">
        <f t="array" ref="M1408">_xlfn.IFS(L1408="Retirement","Voluntary",L1408="Resignation","Voluntary",L1408="Layoff","InVoluntary")</f>
        <v>Voluntary</v>
      </c>
      <c r="N1408" s="4" t="s">
        <v>26</v>
      </c>
      <c r="O1408" s="41"/>
      <c r="P1408">
        <v>1</v>
      </c>
      <c r="Q1408" t="s">
        <v>173</v>
      </c>
    </row>
    <row r="1409" spans="1:17" x14ac:dyDescent="0.35">
      <c r="A1409" s="4">
        <v>8014</v>
      </c>
      <c r="B1409" s="5">
        <v>34912</v>
      </c>
      <c r="C1409" s="5">
        <v>43937</v>
      </c>
      <c r="D1409" s="4">
        <v>25</v>
      </c>
      <c r="E1409" s="6" t="str" cm="1">
        <f t="array" ref="E1409">_xlfn.IFS(D1409&lt;=5,"Newcomer",AND(D1409&gt;=6,D1409&lt;=10),"Proficient",D1409&gt;10,"Expert")</f>
        <v>Expert</v>
      </c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 t="str" cm="1">
        <f t="array" ref="M1409">_xlfn.IFS(L1409="Retirement","Voluntary",L1409="Resignation","Voluntary",L1409="Layoff","InVoluntary")</f>
        <v>Voluntary</v>
      </c>
      <c r="N1409" s="4" t="s">
        <v>26</v>
      </c>
      <c r="O1409" s="41"/>
      <c r="P1409">
        <v>1</v>
      </c>
      <c r="Q1409" t="s">
        <v>173</v>
      </c>
    </row>
    <row r="1410" spans="1:17" x14ac:dyDescent="0.35">
      <c r="A1410" s="4">
        <v>8015</v>
      </c>
      <c r="B1410" s="5">
        <v>34150</v>
      </c>
      <c r="C1410" s="5">
        <v>44046</v>
      </c>
      <c r="D1410" s="4">
        <v>27</v>
      </c>
      <c r="E1410" s="6" t="str" cm="1">
        <f t="array" ref="E1410">_xlfn.IFS(D1410&lt;=5,"Newcomer",AND(D1410&gt;=6,D1410&lt;=10),"Proficient",D1410&gt;10,"Expert")</f>
        <v>Expert</v>
      </c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 t="str" cm="1">
        <f t="array" ref="M1410">_xlfn.IFS(L1410="Retirement","Voluntary",L1410="Resignation","Voluntary",L1410="Layoff","InVoluntary")</f>
        <v>Voluntary</v>
      </c>
      <c r="N1410" s="4" t="s">
        <v>26</v>
      </c>
      <c r="O1410" s="41"/>
      <c r="P1410">
        <v>1</v>
      </c>
      <c r="Q1410" t="s">
        <v>173</v>
      </c>
    </row>
    <row r="1411" spans="1:17" x14ac:dyDescent="0.35">
      <c r="A1411" s="4">
        <v>8016</v>
      </c>
      <c r="B1411" s="5">
        <v>37658</v>
      </c>
      <c r="C1411" s="5">
        <v>43841</v>
      </c>
      <c r="D1411" s="4">
        <v>17</v>
      </c>
      <c r="E1411" s="6" t="str" cm="1">
        <f t="array" ref="E1411">_xlfn.IFS(D1411&lt;=5,"Newcomer",AND(D1411&gt;=6,D1411&lt;=10),"Proficient",D1411&gt;10,"Expert")</f>
        <v>Expert</v>
      </c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 t="str" cm="1">
        <f t="array" ref="M1411">_xlfn.IFS(L1411="Retirement","Voluntary",L1411="Resignation","Voluntary",L1411="Layoff","InVoluntary")</f>
        <v>Voluntary</v>
      </c>
      <c r="N1411" s="4" t="s">
        <v>26</v>
      </c>
      <c r="O1411" s="41"/>
      <c r="P1411">
        <v>1</v>
      </c>
      <c r="Q1411" t="s">
        <v>173</v>
      </c>
    </row>
    <row r="1412" spans="1:17" x14ac:dyDescent="0.35">
      <c r="A1412" s="4">
        <v>8017</v>
      </c>
      <c r="B1412" s="5">
        <v>41304</v>
      </c>
      <c r="C1412" s="5">
        <v>43853</v>
      </c>
      <c r="D1412" s="4">
        <v>7</v>
      </c>
      <c r="E1412" s="6" t="str" cm="1">
        <f t="array" ref="E1412">_xlfn.IFS(D1412&lt;=5,"Newcomer",AND(D1412&gt;=6,D1412&lt;=10),"Proficient",D1412&gt;10,"Expert")</f>
        <v>Proficient</v>
      </c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 t="str" cm="1">
        <f t="array" ref="M1412">_xlfn.IFS(L1412="Retirement","Voluntary",L1412="Resignation","Voluntary",L1412="Layoff","InVoluntary")</f>
        <v>InVoluntary</v>
      </c>
      <c r="N1412" s="4" t="s">
        <v>26</v>
      </c>
      <c r="O1412" s="41"/>
      <c r="P1412">
        <v>1</v>
      </c>
      <c r="Q1412" t="s">
        <v>174</v>
      </c>
    </row>
    <row r="1413" spans="1:17" x14ac:dyDescent="0.35">
      <c r="A1413" s="4">
        <v>8018</v>
      </c>
      <c r="B1413" s="5">
        <v>37604</v>
      </c>
      <c r="C1413" s="5">
        <v>44011</v>
      </c>
      <c r="D1413" s="4">
        <v>18</v>
      </c>
      <c r="E1413" s="6" t="str" cm="1">
        <f t="array" ref="E1413">_xlfn.IFS(D1413&lt;=5,"Newcomer",AND(D1413&gt;=6,D1413&lt;=10),"Proficient",D1413&gt;10,"Expert")</f>
        <v>Expert</v>
      </c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 t="str" cm="1">
        <f t="array" ref="M1413">_xlfn.IFS(L1413="Retirement","Voluntary",L1413="Resignation","Voluntary",L1413="Layoff","InVoluntary")</f>
        <v>Voluntary</v>
      </c>
      <c r="N1413" s="4" t="s">
        <v>26</v>
      </c>
      <c r="O1413" s="41"/>
      <c r="P1413">
        <v>1</v>
      </c>
      <c r="Q1413" t="s">
        <v>173</v>
      </c>
    </row>
    <row r="1414" spans="1:17" x14ac:dyDescent="0.35">
      <c r="A1414" s="4">
        <v>8019</v>
      </c>
      <c r="B1414" s="5">
        <v>37692</v>
      </c>
      <c r="C1414" s="5">
        <v>43975</v>
      </c>
      <c r="D1414" s="4">
        <v>17</v>
      </c>
      <c r="E1414" s="6" t="str" cm="1">
        <f t="array" ref="E1414">_xlfn.IFS(D1414&lt;=5,"Newcomer",AND(D1414&gt;=6,D1414&lt;=10),"Proficient",D1414&gt;10,"Expert")</f>
        <v>Expert</v>
      </c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 t="str" cm="1">
        <f t="array" ref="M1414">_xlfn.IFS(L1414="Retirement","Voluntary",L1414="Resignation","Voluntary",L1414="Layoff","InVoluntary")</f>
        <v>Voluntary</v>
      </c>
      <c r="N1414" s="4" t="s">
        <v>26</v>
      </c>
      <c r="O1414" s="41"/>
      <c r="P1414">
        <v>1</v>
      </c>
      <c r="Q1414" t="s">
        <v>173</v>
      </c>
    </row>
    <row r="1415" spans="1:17" x14ac:dyDescent="0.35">
      <c r="A1415" s="4">
        <v>8020</v>
      </c>
      <c r="B1415" s="5">
        <v>41979</v>
      </c>
      <c r="C1415" s="5">
        <v>44079</v>
      </c>
      <c r="D1415" s="4">
        <v>6</v>
      </c>
      <c r="E1415" s="6" t="str" cm="1">
        <f t="array" ref="E1415">_xlfn.IFS(D1415&lt;=5,"Newcomer",AND(D1415&gt;=6,D1415&lt;=10),"Proficient",D1415&gt;10,"Expert")</f>
        <v>Proficient</v>
      </c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 t="str" cm="1">
        <f t="array" ref="M1415">_xlfn.IFS(L1415="Retirement","Voluntary",L1415="Resignation","Voluntary",L1415="Layoff","InVoluntary")</f>
        <v>Voluntary</v>
      </c>
      <c r="N1415" s="4" t="s">
        <v>26</v>
      </c>
      <c r="O1415" s="41"/>
      <c r="P1415">
        <v>1</v>
      </c>
      <c r="Q1415" t="s">
        <v>173</v>
      </c>
    </row>
    <row r="1416" spans="1:17" x14ac:dyDescent="0.35">
      <c r="A1416" s="4">
        <v>8021</v>
      </c>
      <c r="B1416" s="5">
        <v>37530</v>
      </c>
      <c r="C1416" s="5">
        <v>44079</v>
      </c>
      <c r="D1416" s="4">
        <v>18</v>
      </c>
      <c r="E1416" s="6" t="str" cm="1">
        <f t="array" ref="E1416">_xlfn.IFS(D1416&lt;=5,"Newcomer",AND(D1416&gt;=6,D1416&lt;=10),"Proficient",D1416&gt;10,"Expert")</f>
        <v>Expert</v>
      </c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 t="str" cm="1">
        <f t="array" ref="M1416">_xlfn.IFS(L1416="Retirement","Voluntary",L1416="Resignation","Voluntary",L1416="Layoff","InVoluntary")</f>
        <v>Voluntary</v>
      </c>
      <c r="N1416" s="4" t="s">
        <v>26</v>
      </c>
      <c r="O1416" s="41"/>
      <c r="P1416">
        <v>1</v>
      </c>
      <c r="Q1416" t="s">
        <v>173</v>
      </c>
    </row>
    <row r="1417" spans="1:17" x14ac:dyDescent="0.35">
      <c r="A1417" s="4">
        <v>8022</v>
      </c>
      <c r="B1417" s="5">
        <v>36534</v>
      </c>
      <c r="C1417" s="5">
        <v>43849</v>
      </c>
      <c r="D1417" s="4">
        <v>20</v>
      </c>
      <c r="E1417" s="6" t="str" cm="1">
        <f t="array" ref="E1417">_xlfn.IFS(D1417&lt;=5,"Newcomer",AND(D1417&gt;=6,D1417&lt;=10),"Proficient",D1417&gt;10,"Expert")</f>
        <v>Expert</v>
      </c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 t="str" cm="1">
        <f t="array" ref="M1417">_xlfn.IFS(L1417="Retirement","Voluntary",L1417="Resignation","Voluntary",L1417="Layoff","InVoluntary")</f>
        <v>Voluntary</v>
      </c>
      <c r="N1417" s="4" t="s">
        <v>26</v>
      </c>
      <c r="O1417" s="41"/>
      <c r="P1417">
        <v>1</v>
      </c>
      <c r="Q1417" t="s">
        <v>173</v>
      </c>
    </row>
    <row r="1418" spans="1:17" x14ac:dyDescent="0.35">
      <c r="A1418" s="4">
        <v>8023</v>
      </c>
      <c r="B1418" s="5">
        <v>37064</v>
      </c>
      <c r="C1418" s="5">
        <v>43849</v>
      </c>
      <c r="D1418" s="4">
        <v>19</v>
      </c>
      <c r="E1418" s="6" t="str" cm="1">
        <f t="array" ref="E1418">_xlfn.IFS(D1418&lt;=5,"Newcomer",AND(D1418&gt;=6,D1418&lt;=10),"Proficient",D1418&gt;10,"Expert")</f>
        <v>Expert</v>
      </c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 t="str" cm="1">
        <f t="array" ref="M1418">_xlfn.IFS(L1418="Retirement","Voluntary",L1418="Resignation","Voluntary",L1418="Layoff","InVoluntary")</f>
        <v>Voluntary</v>
      </c>
      <c r="N1418" s="4" t="s">
        <v>26</v>
      </c>
      <c r="O1418" s="41"/>
      <c r="P1418">
        <v>1</v>
      </c>
      <c r="Q1418" t="s">
        <v>173</v>
      </c>
    </row>
    <row r="1419" spans="1:17" x14ac:dyDescent="0.35">
      <c r="A1419" s="4">
        <v>8024</v>
      </c>
      <c r="B1419" s="5">
        <v>35248</v>
      </c>
      <c r="C1419" s="5">
        <v>43938</v>
      </c>
      <c r="D1419" s="4">
        <v>24</v>
      </c>
      <c r="E1419" s="6" t="str" cm="1">
        <f t="array" ref="E1419">_xlfn.IFS(D1419&lt;=5,"Newcomer",AND(D1419&gt;=6,D1419&lt;=10),"Proficient",D1419&gt;10,"Expert")</f>
        <v>Expert</v>
      </c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 t="str" cm="1">
        <f t="array" ref="M1419">_xlfn.IFS(L1419="Retirement","Voluntary",L1419="Resignation","Voluntary",L1419="Layoff","InVoluntary")</f>
        <v>Voluntary</v>
      </c>
      <c r="N1419" s="4" t="s">
        <v>26</v>
      </c>
      <c r="O1419" s="41"/>
      <c r="P1419">
        <v>1</v>
      </c>
      <c r="Q1419" t="s">
        <v>173</v>
      </c>
    </row>
    <row r="1420" spans="1:17" x14ac:dyDescent="0.35">
      <c r="A1420" s="4">
        <v>8025</v>
      </c>
      <c r="B1420" s="5">
        <v>39446</v>
      </c>
      <c r="C1420" s="5">
        <v>44190</v>
      </c>
      <c r="D1420" s="4">
        <v>13</v>
      </c>
      <c r="E1420" s="6" t="str" cm="1">
        <f t="array" ref="E1420">_xlfn.IFS(D1420&lt;=5,"Newcomer",AND(D1420&gt;=6,D1420&lt;=10),"Proficient",D1420&gt;10,"Expert")</f>
        <v>Expert</v>
      </c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 t="str" cm="1">
        <f t="array" ref="M1420">_xlfn.IFS(L1420="Retirement","Voluntary",L1420="Resignation","Voluntary",L1420="Layoff","InVoluntary")</f>
        <v>Voluntary</v>
      </c>
      <c r="N1420" s="4" t="s">
        <v>26</v>
      </c>
      <c r="O1420" s="41"/>
      <c r="P1420">
        <v>1</v>
      </c>
      <c r="Q1420" t="s">
        <v>173</v>
      </c>
    </row>
    <row r="1421" spans="1:17" x14ac:dyDescent="0.35">
      <c r="A1421" s="4">
        <v>8026</v>
      </c>
      <c r="B1421" s="5">
        <v>35930</v>
      </c>
      <c r="C1421" s="5">
        <v>43894</v>
      </c>
      <c r="D1421" s="4">
        <v>22</v>
      </c>
      <c r="E1421" s="6" t="str" cm="1">
        <f t="array" ref="E1421">_xlfn.IFS(D1421&lt;=5,"Newcomer",AND(D1421&gt;=6,D1421&lt;=10),"Proficient",D1421&gt;10,"Expert")</f>
        <v>Expert</v>
      </c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 t="str" cm="1">
        <f t="array" ref="M1421">_xlfn.IFS(L1421="Retirement","Voluntary",L1421="Resignation","Voluntary",L1421="Layoff","InVoluntary")</f>
        <v>Voluntary</v>
      </c>
      <c r="N1421" s="4" t="s">
        <v>26</v>
      </c>
      <c r="O1421" s="41"/>
      <c r="P1421">
        <v>1</v>
      </c>
      <c r="Q1421" t="s">
        <v>173</v>
      </c>
    </row>
    <row r="1422" spans="1:17" x14ac:dyDescent="0.35">
      <c r="A1422" s="4">
        <v>8027</v>
      </c>
      <c r="B1422" s="5">
        <v>33554</v>
      </c>
      <c r="C1422" s="5">
        <v>44110</v>
      </c>
      <c r="D1422" s="4">
        <v>29</v>
      </c>
      <c r="E1422" s="6" t="str" cm="1">
        <f t="array" ref="E1422">_xlfn.IFS(D1422&lt;=5,"Newcomer",AND(D1422&gt;=6,D1422&lt;=10),"Proficient",D1422&gt;10,"Expert")</f>
        <v>Expert</v>
      </c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 t="str" cm="1">
        <f t="array" ref="M1422">_xlfn.IFS(L1422="Retirement","Voluntary",L1422="Resignation","Voluntary",L1422="Layoff","InVoluntary")</f>
        <v>Voluntary</v>
      </c>
      <c r="N1422" s="4" t="s">
        <v>26</v>
      </c>
      <c r="O1422" s="41"/>
      <c r="P1422">
        <v>1</v>
      </c>
      <c r="Q1422" t="s">
        <v>173</v>
      </c>
    </row>
    <row r="1423" spans="1:17" x14ac:dyDescent="0.35">
      <c r="A1423" s="4">
        <v>8028</v>
      </c>
      <c r="B1423" s="5">
        <v>42091</v>
      </c>
      <c r="C1423" s="5">
        <v>44157</v>
      </c>
      <c r="D1423" s="4">
        <v>5</v>
      </c>
      <c r="E1423" s="6" t="str" cm="1">
        <f t="array" ref="E1423">_xlfn.IFS(D1423&lt;=5,"Newcomer",AND(D1423&gt;=6,D1423&lt;=10),"Proficient",D1423&gt;10,"Expert")</f>
        <v>Newcomer</v>
      </c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 t="str" cm="1">
        <f t="array" ref="M1423">_xlfn.IFS(L1423="Retirement","Voluntary",L1423="Resignation","Voluntary",L1423="Layoff","InVoluntary")</f>
        <v>Voluntary</v>
      </c>
      <c r="N1423" s="4" t="s">
        <v>26</v>
      </c>
      <c r="O1423" s="41"/>
      <c r="P1423">
        <v>1</v>
      </c>
      <c r="Q1423" t="s">
        <v>173</v>
      </c>
    </row>
    <row r="1424" spans="1:17" x14ac:dyDescent="0.35">
      <c r="A1424" s="4">
        <v>8029</v>
      </c>
      <c r="B1424" s="5">
        <v>39293</v>
      </c>
      <c r="C1424" s="5">
        <v>43863</v>
      </c>
      <c r="D1424" s="4">
        <v>13</v>
      </c>
      <c r="E1424" s="6" t="str" cm="1">
        <f t="array" ref="E1424">_xlfn.IFS(D1424&lt;=5,"Newcomer",AND(D1424&gt;=6,D1424&lt;=10),"Proficient",D1424&gt;10,"Expert")</f>
        <v>Expert</v>
      </c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 t="str" cm="1">
        <f t="array" ref="M1424">_xlfn.IFS(L1424="Retirement","Voluntary",L1424="Resignation","Voluntary",L1424="Layoff","InVoluntary")</f>
        <v>Voluntary</v>
      </c>
      <c r="N1424" s="4" t="s">
        <v>26</v>
      </c>
      <c r="O1424" s="41"/>
      <c r="P1424">
        <v>1</v>
      </c>
      <c r="Q1424" t="s">
        <v>173</v>
      </c>
    </row>
    <row r="1425" spans="1:17" x14ac:dyDescent="0.35">
      <c r="A1425" s="4">
        <v>8030</v>
      </c>
      <c r="B1425" s="5">
        <v>34996</v>
      </c>
      <c r="C1425" s="5">
        <v>43937</v>
      </c>
      <c r="D1425" s="4">
        <v>25</v>
      </c>
      <c r="E1425" s="6" t="str" cm="1">
        <f t="array" ref="E1425">_xlfn.IFS(D1425&lt;=5,"Newcomer",AND(D1425&gt;=6,D1425&lt;=10),"Proficient",D1425&gt;10,"Expert")</f>
        <v>Expert</v>
      </c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 t="str" cm="1">
        <f t="array" ref="M1425">_xlfn.IFS(L1425="Retirement","Voluntary",L1425="Resignation","Voluntary",L1425="Layoff","InVoluntary")</f>
        <v>Voluntary</v>
      </c>
      <c r="N1425" s="4" t="s">
        <v>26</v>
      </c>
      <c r="O1425" s="41"/>
      <c r="P1425">
        <v>1</v>
      </c>
      <c r="Q1425" t="s">
        <v>173</v>
      </c>
    </row>
    <row r="1426" spans="1:17" x14ac:dyDescent="0.35">
      <c r="A1426" s="4">
        <v>8035</v>
      </c>
      <c r="B1426" s="5">
        <v>37149</v>
      </c>
      <c r="C1426" s="5">
        <v>44055</v>
      </c>
      <c r="D1426" s="4">
        <v>19</v>
      </c>
      <c r="E1426" s="6" t="str" cm="1">
        <f t="array" ref="E1426">_xlfn.IFS(D1426&lt;=5,"Newcomer",AND(D1426&gt;=6,D1426&lt;=10),"Proficient",D1426&gt;10,"Expert")</f>
        <v>Expert</v>
      </c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 t="str" cm="1">
        <f t="array" ref="M1426">_xlfn.IFS(L1426="Retirement","Voluntary",L1426="Resignation","Voluntary",L1426="Layoff","InVoluntary")</f>
        <v>InVoluntary</v>
      </c>
      <c r="N1426" s="4" t="s">
        <v>26</v>
      </c>
      <c r="O1426" s="41"/>
      <c r="P1426">
        <v>1</v>
      </c>
      <c r="Q1426" t="s">
        <v>174</v>
      </c>
    </row>
    <row r="1427" spans="1:17" x14ac:dyDescent="0.35">
      <c r="A1427" s="4">
        <v>8036</v>
      </c>
      <c r="B1427" s="5">
        <v>38318</v>
      </c>
      <c r="C1427" s="5">
        <v>43837</v>
      </c>
      <c r="D1427" s="4">
        <v>16</v>
      </c>
      <c r="E1427" s="6" t="str" cm="1">
        <f t="array" ref="E1427">_xlfn.IFS(D1427&lt;=5,"Newcomer",AND(D1427&gt;=6,D1427&lt;=10),"Proficient",D1427&gt;10,"Expert")</f>
        <v>Expert</v>
      </c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 t="str" cm="1">
        <f t="array" ref="M1427">_xlfn.IFS(L1427="Retirement","Voluntary",L1427="Resignation","Voluntary",L1427="Layoff","InVoluntary")</f>
        <v>Voluntary</v>
      </c>
      <c r="N1427" s="4" t="s">
        <v>26</v>
      </c>
      <c r="O1427" s="41"/>
      <c r="P1427">
        <v>1</v>
      </c>
      <c r="Q1427" t="s">
        <v>173</v>
      </c>
    </row>
    <row r="1428" spans="1:17" x14ac:dyDescent="0.35">
      <c r="A1428" s="4">
        <v>8042</v>
      </c>
      <c r="B1428" s="5">
        <v>38457</v>
      </c>
      <c r="C1428" s="5">
        <v>43867</v>
      </c>
      <c r="D1428" s="4">
        <v>15</v>
      </c>
      <c r="E1428" s="6" t="str" cm="1">
        <f t="array" ref="E1428">_xlfn.IFS(D1428&lt;=5,"Newcomer",AND(D1428&gt;=6,D1428&lt;=10),"Proficient",D1428&gt;10,"Expert")</f>
        <v>Expert</v>
      </c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 t="str" cm="1">
        <f t="array" ref="M1428">_xlfn.IFS(L1428="Retirement","Voluntary",L1428="Resignation","Voluntary",L1428="Layoff","InVoluntary")</f>
        <v>InVoluntary</v>
      </c>
      <c r="N1428" s="4" t="s">
        <v>26</v>
      </c>
      <c r="O1428" s="41"/>
      <c r="P1428">
        <v>1</v>
      </c>
      <c r="Q1428" t="s">
        <v>174</v>
      </c>
    </row>
    <row r="1429" spans="1:17" x14ac:dyDescent="0.35">
      <c r="A1429" s="4">
        <v>8047</v>
      </c>
      <c r="B1429" s="5">
        <v>39905</v>
      </c>
      <c r="C1429" s="5">
        <v>44037</v>
      </c>
      <c r="D1429" s="4">
        <v>11</v>
      </c>
      <c r="E1429" s="6" t="str" cm="1">
        <f t="array" ref="E1429">_xlfn.IFS(D1429&lt;=5,"Newcomer",AND(D1429&gt;=6,D1429&lt;=10),"Proficient",D1429&gt;10,"Expert")</f>
        <v>Expert</v>
      </c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 t="str" cm="1">
        <f t="array" ref="M1429">_xlfn.IFS(L1429="Retirement","Voluntary",L1429="Resignation","Voluntary",L1429="Layoff","InVoluntary")</f>
        <v>InVoluntary</v>
      </c>
      <c r="N1429" s="4" t="s">
        <v>26</v>
      </c>
      <c r="O1429" s="41"/>
      <c r="P1429">
        <v>1</v>
      </c>
      <c r="Q1429" t="s">
        <v>174</v>
      </c>
    </row>
    <row r="1430" spans="1:17" x14ac:dyDescent="0.35">
      <c r="A1430" s="4">
        <v>8055</v>
      </c>
      <c r="B1430" s="5">
        <v>37725</v>
      </c>
      <c r="C1430" s="5">
        <v>44195</v>
      </c>
      <c r="D1430" s="4">
        <v>17</v>
      </c>
      <c r="E1430" s="6" t="str" cm="1">
        <f t="array" ref="E1430">_xlfn.IFS(D1430&lt;=5,"Newcomer",AND(D1430&gt;=6,D1430&lt;=10),"Proficient",D1430&gt;10,"Expert")</f>
        <v>Expert</v>
      </c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 t="str" cm="1">
        <f t="array" ref="M1430">_xlfn.IFS(L1430="Retirement","Voluntary",L1430="Resignation","Voluntary",L1430="Layoff","InVoluntary")</f>
        <v>InVoluntary</v>
      </c>
      <c r="N1430" s="4" t="s">
        <v>26</v>
      </c>
      <c r="O1430" s="41"/>
      <c r="P1430">
        <v>1</v>
      </c>
      <c r="Q1430" t="s">
        <v>174</v>
      </c>
    </row>
    <row r="1431" spans="1:17" x14ac:dyDescent="0.35">
      <c r="A1431" s="4">
        <v>8065</v>
      </c>
      <c r="B1431" s="5">
        <v>41239</v>
      </c>
      <c r="C1431" s="5">
        <v>43903</v>
      </c>
      <c r="D1431" s="4">
        <v>8</v>
      </c>
      <c r="E1431" s="6" t="str" cm="1">
        <f t="array" ref="E1431">_xlfn.IFS(D1431&lt;=5,"Newcomer",AND(D1431&gt;=6,D1431&lt;=10),"Proficient",D1431&gt;10,"Expert")</f>
        <v>Proficient</v>
      </c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 t="str" cm="1">
        <f t="array" ref="M1431">_xlfn.IFS(L1431="Retirement","Voluntary",L1431="Resignation","Voluntary",L1431="Layoff","InVoluntary")</f>
        <v>Voluntary</v>
      </c>
      <c r="N1431" s="4" t="s">
        <v>26</v>
      </c>
      <c r="O1431" s="41"/>
      <c r="P1431">
        <v>1</v>
      </c>
      <c r="Q1431" t="s">
        <v>173</v>
      </c>
    </row>
    <row r="1432" spans="1:17" x14ac:dyDescent="0.35">
      <c r="A1432" s="4">
        <v>8069</v>
      </c>
      <c r="B1432" s="5">
        <v>39968</v>
      </c>
      <c r="C1432" s="5">
        <v>43872</v>
      </c>
      <c r="D1432" s="4">
        <v>11</v>
      </c>
      <c r="E1432" s="6" t="str" cm="1">
        <f t="array" ref="E1432">_xlfn.IFS(D1432&lt;=5,"Newcomer",AND(D1432&gt;=6,D1432&lt;=10),"Proficient",D1432&gt;10,"Expert")</f>
        <v>Expert</v>
      </c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 t="str" cm="1">
        <f t="array" ref="M1432">_xlfn.IFS(L1432="Retirement","Voluntary",L1432="Resignation","Voluntary",L1432="Layoff","InVoluntary")</f>
        <v>InVoluntary</v>
      </c>
      <c r="N1432" s="4" t="s">
        <v>26</v>
      </c>
      <c r="O1432" s="41"/>
      <c r="P1432">
        <v>1</v>
      </c>
      <c r="Q1432" t="s">
        <v>174</v>
      </c>
    </row>
    <row r="1433" spans="1:17" x14ac:dyDescent="0.35">
      <c r="A1433" s="4">
        <v>8070</v>
      </c>
      <c r="B1433" s="5">
        <v>39056</v>
      </c>
      <c r="C1433" s="5">
        <v>44194</v>
      </c>
      <c r="D1433" s="4">
        <v>14</v>
      </c>
      <c r="E1433" s="6" t="str" cm="1">
        <f t="array" ref="E1433">_xlfn.IFS(D1433&lt;=5,"Newcomer",AND(D1433&gt;=6,D1433&lt;=10),"Proficient",D1433&gt;10,"Expert")</f>
        <v>Expert</v>
      </c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 t="str" cm="1">
        <f t="array" ref="M1433">_xlfn.IFS(L1433="Retirement","Voluntary",L1433="Resignation","Voluntary",L1433="Layoff","InVoluntary")</f>
        <v>InVoluntary</v>
      </c>
      <c r="N1433" s="4" t="s">
        <v>26</v>
      </c>
      <c r="O1433" s="41"/>
      <c r="P1433">
        <v>1</v>
      </c>
      <c r="Q1433" t="s">
        <v>174</v>
      </c>
    </row>
    <row r="1434" spans="1:17" x14ac:dyDescent="0.35">
      <c r="A1434" s="4">
        <v>8080</v>
      </c>
      <c r="B1434" s="5">
        <v>34676</v>
      </c>
      <c r="C1434" s="5">
        <v>44185</v>
      </c>
      <c r="D1434" s="4">
        <v>26</v>
      </c>
      <c r="E1434" s="6" t="str" cm="1">
        <f t="array" ref="E1434">_xlfn.IFS(D1434&lt;=5,"Newcomer",AND(D1434&gt;=6,D1434&lt;=10),"Proficient",D1434&gt;10,"Expert")</f>
        <v>Expert</v>
      </c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 t="str" cm="1">
        <f t="array" ref="M1434">_xlfn.IFS(L1434="Retirement","Voluntary",L1434="Resignation","Voluntary",L1434="Layoff","InVoluntary")</f>
        <v>InVoluntary</v>
      </c>
      <c r="N1434" s="4" t="s">
        <v>26</v>
      </c>
      <c r="O1434" s="41"/>
      <c r="P1434">
        <v>1</v>
      </c>
      <c r="Q1434" t="s">
        <v>174</v>
      </c>
    </row>
    <row r="1435" spans="1:17" x14ac:dyDescent="0.35">
      <c r="A1435" s="4">
        <v>8083</v>
      </c>
      <c r="B1435" s="5">
        <v>40602</v>
      </c>
      <c r="C1435" s="5">
        <v>44145</v>
      </c>
      <c r="D1435" s="4">
        <v>9</v>
      </c>
      <c r="E1435" s="6" t="str" cm="1">
        <f t="array" ref="E1435">_xlfn.IFS(D1435&lt;=5,"Newcomer",AND(D1435&gt;=6,D1435&lt;=10),"Proficient",D1435&gt;10,"Expert")</f>
        <v>Proficient</v>
      </c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 t="str" cm="1">
        <f t="array" ref="M1435">_xlfn.IFS(L1435="Retirement","Voluntary",L1435="Resignation","Voluntary",L1435="Layoff","InVoluntary")</f>
        <v>Voluntary</v>
      </c>
      <c r="N1435" s="4" t="s">
        <v>26</v>
      </c>
      <c r="O1435" s="41"/>
      <c r="P1435">
        <v>1</v>
      </c>
      <c r="Q1435" t="s">
        <v>173</v>
      </c>
    </row>
    <row r="1436" spans="1:17" x14ac:dyDescent="0.35">
      <c r="A1436" s="4">
        <v>8105</v>
      </c>
      <c r="B1436" s="5">
        <v>39731</v>
      </c>
      <c r="C1436" s="5">
        <v>44165</v>
      </c>
      <c r="D1436" s="4">
        <v>12</v>
      </c>
      <c r="E1436" s="6" t="str" cm="1">
        <f t="array" ref="E1436">_xlfn.IFS(D1436&lt;=5,"Newcomer",AND(D1436&gt;=6,D1436&lt;=10),"Proficient",D1436&gt;10,"Expert")</f>
        <v>Expert</v>
      </c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 t="str" cm="1">
        <f t="array" ref="M1436">_xlfn.IFS(L1436="Retirement","Voluntary",L1436="Resignation","Voluntary",L1436="Layoff","InVoluntary")</f>
        <v>InVoluntary</v>
      </c>
      <c r="N1436" s="4" t="s">
        <v>26</v>
      </c>
      <c r="O1436" s="41"/>
      <c r="P1436">
        <v>1</v>
      </c>
      <c r="Q1436" t="s">
        <v>174</v>
      </c>
    </row>
    <row r="1437" spans="1:17" x14ac:dyDescent="0.35">
      <c r="A1437" s="4">
        <v>8126</v>
      </c>
      <c r="B1437" s="5">
        <v>37866</v>
      </c>
      <c r="C1437" s="5">
        <v>44018</v>
      </c>
      <c r="D1437" s="4">
        <v>17</v>
      </c>
      <c r="E1437" s="6" t="str" cm="1">
        <f t="array" ref="E1437">_xlfn.IFS(D1437&lt;=5,"Newcomer",AND(D1437&gt;=6,D1437&lt;=10),"Proficient",D1437&gt;10,"Expert")</f>
        <v>Expert</v>
      </c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 t="str" cm="1">
        <f t="array" ref="M1437">_xlfn.IFS(L1437="Retirement","Voluntary",L1437="Resignation","Voluntary",L1437="Layoff","InVoluntary")</f>
        <v>InVoluntary</v>
      </c>
      <c r="N1437" s="4" t="s">
        <v>26</v>
      </c>
      <c r="O1437" s="41"/>
      <c r="P1437">
        <v>1</v>
      </c>
      <c r="Q1437" t="s">
        <v>174</v>
      </c>
    </row>
    <row r="1438" spans="1:17" x14ac:dyDescent="0.35">
      <c r="A1438" s="4">
        <v>8149</v>
      </c>
      <c r="B1438" s="5">
        <v>40827</v>
      </c>
      <c r="C1438" s="5">
        <v>43842</v>
      </c>
      <c r="D1438" s="4">
        <v>9</v>
      </c>
      <c r="E1438" s="6" t="str" cm="1">
        <f t="array" ref="E1438">_xlfn.IFS(D1438&lt;=5,"Newcomer",AND(D1438&gt;=6,D1438&lt;=10),"Proficient",D1438&gt;10,"Expert")</f>
        <v>Proficient</v>
      </c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 t="str" cm="1">
        <f t="array" ref="M1438">_xlfn.IFS(L1438="Retirement","Voluntary",L1438="Resignation","Voluntary",L1438="Layoff","InVoluntary")</f>
        <v>InVoluntary</v>
      </c>
      <c r="N1438" s="4" t="s">
        <v>26</v>
      </c>
      <c r="O1438" s="41"/>
      <c r="P1438">
        <v>1</v>
      </c>
      <c r="Q1438" t="s">
        <v>174</v>
      </c>
    </row>
    <row r="1439" spans="1:17" x14ac:dyDescent="0.35">
      <c r="A1439" s="4">
        <v>8150</v>
      </c>
      <c r="B1439" s="5">
        <v>34842</v>
      </c>
      <c r="C1439" s="5">
        <v>43985</v>
      </c>
      <c r="D1439" s="4">
        <v>25</v>
      </c>
      <c r="E1439" s="6" t="str" cm="1">
        <f t="array" ref="E1439">_xlfn.IFS(D1439&lt;=5,"Newcomer",AND(D1439&gt;=6,D1439&lt;=10),"Proficient",D1439&gt;10,"Expert")</f>
        <v>Expert</v>
      </c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 t="str" cm="1">
        <f t="array" ref="M1439">_xlfn.IFS(L1439="Retirement","Voluntary",L1439="Resignation","Voluntary",L1439="Layoff","InVoluntary")</f>
        <v>Voluntary</v>
      </c>
      <c r="N1439" s="4" t="s">
        <v>26</v>
      </c>
      <c r="O1439" s="41"/>
      <c r="P1439">
        <v>1</v>
      </c>
      <c r="Q1439" t="s">
        <v>173</v>
      </c>
    </row>
    <row r="1440" spans="1:17" x14ac:dyDescent="0.35">
      <c r="A1440" s="4">
        <v>8151</v>
      </c>
      <c r="B1440" s="5">
        <v>33539</v>
      </c>
      <c r="C1440" s="5">
        <v>44017</v>
      </c>
      <c r="D1440" s="4">
        <v>29</v>
      </c>
      <c r="E1440" s="6" t="str" cm="1">
        <f t="array" ref="E1440">_xlfn.IFS(D1440&lt;=5,"Newcomer",AND(D1440&gt;=6,D1440&lt;=10),"Proficient",D1440&gt;10,"Expert")</f>
        <v>Expert</v>
      </c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 t="str" cm="1">
        <f t="array" ref="M1440">_xlfn.IFS(L1440="Retirement","Voluntary",L1440="Resignation","Voluntary",L1440="Layoff","InVoluntary")</f>
        <v>Voluntary</v>
      </c>
      <c r="N1440" s="4" t="s">
        <v>26</v>
      </c>
      <c r="O1440" s="41"/>
      <c r="P1440">
        <v>1</v>
      </c>
      <c r="Q1440" t="s">
        <v>173</v>
      </c>
    </row>
    <row r="1441" spans="1:17" x14ac:dyDescent="0.35">
      <c r="A1441" s="4">
        <v>8152</v>
      </c>
      <c r="B1441" s="5">
        <v>35757</v>
      </c>
      <c r="C1441" s="5">
        <v>43917</v>
      </c>
      <c r="D1441" s="4">
        <v>23</v>
      </c>
      <c r="E1441" s="6" t="str" cm="1">
        <f t="array" ref="E1441">_xlfn.IFS(D1441&lt;=5,"Newcomer",AND(D1441&gt;=6,D1441&lt;=10),"Proficient",D1441&gt;10,"Expert")</f>
        <v>Expert</v>
      </c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 t="str" cm="1">
        <f t="array" ref="M1441">_xlfn.IFS(L1441="Retirement","Voluntary",L1441="Resignation","Voluntary",L1441="Layoff","InVoluntary")</f>
        <v>Voluntary</v>
      </c>
      <c r="N1441" s="4" t="s">
        <v>26</v>
      </c>
      <c r="O1441" s="41"/>
      <c r="P1441">
        <v>1</v>
      </c>
      <c r="Q1441" t="s">
        <v>173</v>
      </c>
    </row>
    <row r="1442" spans="1:17" x14ac:dyDescent="0.35">
      <c r="A1442" s="4">
        <v>8153</v>
      </c>
      <c r="B1442" s="5">
        <v>40315</v>
      </c>
      <c r="C1442" s="5">
        <v>43936</v>
      </c>
      <c r="D1442" s="4">
        <v>10</v>
      </c>
      <c r="E1442" s="6" t="str" cm="1">
        <f t="array" ref="E1442">_xlfn.IFS(D1442&lt;=5,"Newcomer",AND(D1442&gt;=6,D1442&lt;=10),"Proficient",D1442&gt;10,"Expert")</f>
        <v>Proficient</v>
      </c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 t="str" cm="1">
        <f t="array" ref="M1442">_xlfn.IFS(L1442="Retirement","Voluntary",L1442="Resignation","Voluntary",L1442="Layoff","InVoluntary")</f>
        <v>Voluntary</v>
      </c>
      <c r="N1442" s="4" t="s">
        <v>26</v>
      </c>
      <c r="O1442" s="41"/>
      <c r="P1442">
        <v>1</v>
      </c>
      <c r="Q1442" t="s">
        <v>173</v>
      </c>
    </row>
    <row r="1443" spans="1:17" x14ac:dyDescent="0.35">
      <c r="A1443" s="4">
        <v>8154</v>
      </c>
      <c r="B1443" s="5">
        <v>33632</v>
      </c>
      <c r="C1443" s="5">
        <v>43905</v>
      </c>
      <c r="D1443" s="4">
        <v>28</v>
      </c>
      <c r="E1443" s="6" t="str" cm="1">
        <f t="array" ref="E1443">_xlfn.IFS(D1443&lt;=5,"Newcomer",AND(D1443&gt;=6,D1443&lt;=10),"Proficient",D1443&gt;10,"Expert")</f>
        <v>Expert</v>
      </c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 t="str" cm="1">
        <f t="array" ref="M1443">_xlfn.IFS(L1443="Retirement","Voluntary",L1443="Resignation","Voluntary",L1443="Layoff","InVoluntary")</f>
        <v>Voluntary</v>
      </c>
      <c r="N1443" s="4" t="s">
        <v>26</v>
      </c>
      <c r="O1443" s="41"/>
      <c r="P1443">
        <v>1</v>
      </c>
      <c r="Q1443" t="s">
        <v>173</v>
      </c>
    </row>
    <row r="1444" spans="1:17" x14ac:dyDescent="0.35">
      <c r="A1444" s="4">
        <v>8155</v>
      </c>
      <c r="B1444" s="5">
        <v>33752</v>
      </c>
      <c r="C1444" s="5">
        <v>43916</v>
      </c>
      <c r="D1444" s="4">
        <v>28</v>
      </c>
      <c r="E1444" s="6" t="str" cm="1">
        <f t="array" ref="E1444">_xlfn.IFS(D1444&lt;=5,"Newcomer",AND(D1444&gt;=6,D1444&lt;=10),"Proficient",D1444&gt;10,"Expert")</f>
        <v>Expert</v>
      </c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 t="str" cm="1">
        <f t="array" ref="M1444">_xlfn.IFS(L1444="Retirement","Voluntary",L1444="Resignation","Voluntary",L1444="Layoff","InVoluntary")</f>
        <v>Voluntary</v>
      </c>
      <c r="N1444" s="4" t="s">
        <v>26</v>
      </c>
      <c r="O1444" s="41"/>
      <c r="P1444">
        <v>1</v>
      </c>
      <c r="Q1444" t="s">
        <v>173</v>
      </c>
    </row>
    <row r="1445" spans="1:17" x14ac:dyDescent="0.35">
      <c r="A1445" s="4">
        <v>8156</v>
      </c>
      <c r="B1445" s="5">
        <v>34653</v>
      </c>
      <c r="C1445" s="5">
        <v>44127</v>
      </c>
      <c r="D1445" s="4">
        <v>26</v>
      </c>
      <c r="E1445" s="6" t="str" cm="1">
        <f t="array" ref="E1445">_xlfn.IFS(D1445&lt;=5,"Newcomer",AND(D1445&gt;=6,D1445&lt;=10),"Proficient",D1445&gt;10,"Expert")</f>
        <v>Expert</v>
      </c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 t="str" cm="1">
        <f t="array" ref="M1445">_xlfn.IFS(L1445="Retirement","Voluntary",L1445="Resignation","Voluntary",L1445="Layoff","InVoluntary")</f>
        <v>Voluntary</v>
      </c>
      <c r="N1445" s="4" t="s">
        <v>26</v>
      </c>
      <c r="O1445" s="41"/>
      <c r="P1445">
        <v>1</v>
      </c>
      <c r="Q1445" t="s">
        <v>173</v>
      </c>
    </row>
    <row r="1446" spans="1:17" x14ac:dyDescent="0.35">
      <c r="A1446" s="4">
        <v>8157</v>
      </c>
      <c r="B1446" s="5">
        <v>34842</v>
      </c>
      <c r="C1446" s="5">
        <v>44118</v>
      </c>
      <c r="D1446" s="4">
        <v>25</v>
      </c>
      <c r="E1446" s="6" t="str" cm="1">
        <f t="array" ref="E1446">_xlfn.IFS(D1446&lt;=5,"Newcomer",AND(D1446&gt;=6,D1446&lt;=10),"Proficient",D1446&gt;10,"Expert")</f>
        <v>Expert</v>
      </c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 t="str" cm="1">
        <f t="array" ref="M1446">_xlfn.IFS(L1446="Retirement","Voluntary",L1446="Resignation","Voluntary",L1446="Layoff","InVoluntary")</f>
        <v>Voluntary</v>
      </c>
      <c r="N1446" s="4" t="s">
        <v>26</v>
      </c>
      <c r="O1446" s="41"/>
      <c r="P1446">
        <v>1</v>
      </c>
      <c r="Q1446" t="s">
        <v>173</v>
      </c>
    </row>
    <row r="1447" spans="1:17" x14ac:dyDescent="0.35">
      <c r="A1447" s="4">
        <v>8158</v>
      </c>
      <c r="B1447" s="5">
        <v>39488</v>
      </c>
      <c r="C1447" s="5">
        <v>44164</v>
      </c>
      <c r="D1447" s="4">
        <v>12</v>
      </c>
      <c r="E1447" s="6" t="str" cm="1">
        <f t="array" ref="E1447">_xlfn.IFS(D1447&lt;=5,"Newcomer",AND(D1447&gt;=6,D1447&lt;=10),"Proficient",D1447&gt;10,"Expert")</f>
        <v>Expert</v>
      </c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 t="str" cm="1">
        <f t="array" ref="M1447">_xlfn.IFS(L1447="Retirement","Voluntary",L1447="Resignation","Voluntary",L1447="Layoff","InVoluntary")</f>
        <v>Voluntary</v>
      </c>
      <c r="N1447" s="4" t="s">
        <v>26</v>
      </c>
      <c r="O1447" s="41"/>
      <c r="P1447">
        <v>1</v>
      </c>
      <c r="Q1447" t="s">
        <v>173</v>
      </c>
    </row>
    <row r="1448" spans="1:17" x14ac:dyDescent="0.35">
      <c r="A1448" s="4">
        <v>8159</v>
      </c>
      <c r="B1448" s="5">
        <v>35136</v>
      </c>
      <c r="C1448" s="5">
        <v>43978</v>
      </c>
      <c r="D1448" s="4">
        <v>24</v>
      </c>
      <c r="E1448" s="6" t="str" cm="1">
        <f t="array" ref="E1448">_xlfn.IFS(D1448&lt;=5,"Newcomer",AND(D1448&gt;=6,D1448&lt;=10),"Proficient",D1448&gt;10,"Expert")</f>
        <v>Expert</v>
      </c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 t="str" cm="1">
        <f t="array" ref="M1448">_xlfn.IFS(L1448="Retirement","Voluntary",L1448="Resignation","Voluntary",L1448="Layoff","InVoluntary")</f>
        <v>Voluntary</v>
      </c>
      <c r="N1448" s="4" t="s">
        <v>26</v>
      </c>
      <c r="O1448" s="41"/>
      <c r="P1448">
        <v>1</v>
      </c>
      <c r="Q1448" t="s">
        <v>173</v>
      </c>
    </row>
    <row r="1449" spans="1:17" x14ac:dyDescent="0.35">
      <c r="A1449" s="4">
        <v>8160</v>
      </c>
      <c r="B1449" s="5">
        <v>36422</v>
      </c>
      <c r="C1449" s="5">
        <v>44061</v>
      </c>
      <c r="D1449" s="4">
        <v>21</v>
      </c>
      <c r="E1449" s="6" t="str" cm="1">
        <f t="array" ref="E1449">_xlfn.IFS(D1449&lt;=5,"Newcomer",AND(D1449&gt;=6,D1449&lt;=10),"Proficient",D1449&gt;10,"Expert")</f>
        <v>Expert</v>
      </c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 t="str" cm="1">
        <f t="array" ref="M1449">_xlfn.IFS(L1449="Retirement","Voluntary",L1449="Resignation","Voluntary",L1449="Layoff","InVoluntary")</f>
        <v>Voluntary</v>
      </c>
      <c r="N1449" s="4" t="s">
        <v>26</v>
      </c>
      <c r="O1449" s="41"/>
      <c r="P1449">
        <v>1</v>
      </c>
      <c r="Q1449" t="s">
        <v>173</v>
      </c>
    </row>
    <row r="1450" spans="1:17" x14ac:dyDescent="0.35">
      <c r="A1450" s="4">
        <v>8161</v>
      </c>
      <c r="B1450" s="5">
        <v>39135</v>
      </c>
      <c r="C1450" s="5">
        <v>44052</v>
      </c>
      <c r="D1450" s="4">
        <v>13</v>
      </c>
      <c r="E1450" s="6" t="str" cm="1">
        <f t="array" ref="E1450">_xlfn.IFS(D1450&lt;=5,"Newcomer",AND(D1450&gt;=6,D1450&lt;=10),"Proficient",D1450&gt;10,"Expert")</f>
        <v>Expert</v>
      </c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 t="str" cm="1">
        <f t="array" ref="M1450">_xlfn.IFS(L1450="Retirement","Voluntary",L1450="Resignation","Voluntary",L1450="Layoff","InVoluntary")</f>
        <v>Voluntary</v>
      </c>
      <c r="N1450" s="4" t="s">
        <v>26</v>
      </c>
      <c r="O1450" s="41"/>
      <c r="P1450">
        <v>1</v>
      </c>
      <c r="Q1450" t="s">
        <v>173</v>
      </c>
    </row>
    <row r="1451" spans="1:17" x14ac:dyDescent="0.35">
      <c r="A1451" s="4">
        <v>8162</v>
      </c>
      <c r="B1451" s="5">
        <v>37961</v>
      </c>
      <c r="C1451" s="5">
        <v>43957</v>
      </c>
      <c r="D1451" s="4">
        <v>17</v>
      </c>
      <c r="E1451" s="6" t="str" cm="1">
        <f t="array" ref="E1451">_xlfn.IFS(D1451&lt;=5,"Newcomer",AND(D1451&gt;=6,D1451&lt;=10),"Proficient",D1451&gt;10,"Expert")</f>
        <v>Expert</v>
      </c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 t="str" cm="1">
        <f t="array" ref="M1451">_xlfn.IFS(L1451="Retirement","Voluntary",L1451="Resignation","Voluntary",L1451="Layoff","InVoluntary")</f>
        <v>Voluntary</v>
      </c>
      <c r="N1451" s="4" t="s">
        <v>26</v>
      </c>
      <c r="O1451" s="41"/>
      <c r="P1451">
        <v>1</v>
      </c>
      <c r="Q1451" t="s">
        <v>173</v>
      </c>
    </row>
    <row r="1452" spans="1:17" x14ac:dyDescent="0.35">
      <c r="A1452" s="4">
        <v>8163</v>
      </c>
      <c r="B1452" s="5">
        <v>39880</v>
      </c>
      <c r="C1452" s="5">
        <v>43847</v>
      </c>
      <c r="D1452" s="4">
        <v>11</v>
      </c>
      <c r="E1452" s="6" t="str" cm="1">
        <f t="array" ref="E1452">_xlfn.IFS(D1452&lt;=5,"Newcomer",AND(D1452&gt;=6,D1452&lt;=10),"Proficient",D1452&gt;10,"Expert")</f>
        <v>Expert</v>
      </c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 t="str" cm="1">
        <f t="array" ref="M1452">_xlfn.IFS(L1452="Retirement","Voluntary",L1452="Resignation","Voluntary",L1452="Layoff","InVoluntary")</f>
        <v>Voluntary</v>
      </c>
      <c r="N1452" s="4" t="s">
        <v>26</v>
      </c>
      <c r="O1452" s="41"/>
      <c r="P1452">
        <v>1</v>
      </c>
      <c r="Q1452" t="s">
        <v>173</v>
      </c>
    </row>
    <row r="1453" spans="1:17" x14ac:dyDescent="0.35">
      <c r="A1453" s="4">
        <v>8164</v>
      </c>
      <c r="B1453" s="5">
        <v>38746</v>
      </c>
      <c r="C1453" s="5">
        <v>43927</v>
      </c>
      <c r="D1453" s="4">
        <v>14</v>
      </c>
      <c r="E1453" s="6" t="str" cm="1">
        <f t="array" ref="E1453">_xlfn.IFS(D1453&lt;=5,"Newcomer",AND(D1453&gt;=6,D1453&lt;=10),"Proficient",D1453&gt;10,"Expert")</f>
        <v>Expert</v>
      </c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 t="str" cm="1">
        <f t="array" ref="M1453">_xlfn.IFS(L1453="Retirement","Voluntary",L1453="Resignation","Voluntary",L1453="Layoff","InVoluntary")</f>
        <v>Voluntary</v>
      </c>
      <c r="N1453" s="4" t="s">
        <v>26</v>
      </c>
      <c r="O1453" s="41"/>
      <c r="P1453">
        <v>1</v>
      </c>
      <c r="Q1453" t="s">
        <v>173</v>
      </c>
    </row>
    <row r="1454" spans="1:17" x14ac:dyDescent="0.35">
      <c r="A1454" s="4">
        <v>8165</v>
      </c>
      <c r="B1454" s="5">
        <v>36500</v>
      </c>
      <c r="C1454" s="5">
        <v>43960</v>
      </c>
      <c r="D1454" s="4">
        <v>21</v>
      </c>
      <c r="E1454" s="6" t="str" cm="1">
        <f t="array" ref="E1454">_xlfn.IFS(D1454&lt;=5,"Newcomer",AND(D1454&gt;=6,D1454&lt;=10),"Proficient",D1454&gt;10,"Expert")</f>
        <v>Expert</v>
      </c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 t="str" cm="1">
        <f t="array" ref="M1454">_xlfn.IFS(L1454="Retirement","Voluntary",L1454="Resignation","Voluntary",L1454="Layoff","InVoluntary")</f>
        <v>Voluntary</v>
      </c>
      <c r="N1454" s="4" t="s">
        <v>26</v>
      </c>
      <c r="O1454" s="41"/>
      <c r="P1454">
        <v>1</v>
      </c>
      <c r="Q1454" t="s">
        <v>173</v>
      </c>
    </row>
    <row r="1455" spans="1:17" x14ac:dyDescent="0.35">
      <c r="A1455" s="4">
        <v>8166</v>
      </c>
      <c r="B1455" s="5">
        <v>38975</v>
      </c>
      <c r="C1455" s="5">
        <v>44144</v>
      </c>
      <c r="D1455" s="4">
        <v>14</v>
      </c>
      <c r="E1455" s="6" t="str" cm="1">
        <f t="array" ref="E1455">_xlfn.IFS(D1455&lt;=5,"Newcomer",AND(D1455&gt;=6,D1455&lt;=10),"Proficient",D1455&gt;10,"Expert")</f>
        <v>Expert</v>
      </c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 t="str" cm="1">
        <f t="array" ref="M1455">_xlfn.IFS(L1455="Retirement","Voluntary",L1455="Resignation","Voluntary",L1455="Layoff","InVoluntary")</f>
        <v>Voluntary</v>
      </c>
      <c r="N1455" s="4" t="s">
        <v>26</v>
      </c>
      <c r="O1455" s="41"/>
      <c r="P1455">
        <v>1</v>
      </c>
      <c r="Q1455" t="s">
        <v>173</v>
      </c>
    </row>
    <row r="1456" spans="1:17" x14ac:dyDescent="0.35">
      <c r="A1456" s="4">
        <v>8167</v>
      </c>
      <c r="B1456" s="5">
        <v>36161</v>
      </c>
      <c r="C1456" s="5">
        <v>43957</v>
      </c>
      <c r="D1456" s="4">
        <v>21</v>
      </c>
      <c r="E1456" s="6" t="str" cm="1">
        <f t="array" ref="E1456">_xlfn.IFS(D1456&lt;=5,"Newcomer",AND(D1456&gt;=6,D1456&lt;=10),"Proficient",D1456&gt;10,"Expert")</f>
        <v>Expert</v>
      </c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 t="str" cm="1">
        <f t="array" ref="M1456">_xlfn.IFS(L1456="Retirement","Voluntary",L1456="Resignation","Voluntary",L1456="Layoff","InVoluntary")</f>
        <v>Voluntary</v>
      </c>
      <c r="N1456" s="4" t="s">
        <v>26</v>
      </c>
      <c r="O1456" s="41"/>
      <c r="P1456">
        <v>1</v>
      </c>
      <c r="Q1456" t="s">
        <v>173</v>
      </c>
    </row>
    <row r="1457" spans="1:17" x14ac:dyDescent="0.35">
      <c r="A1457" s="4">
        <v>8168</v>
      </c>
      <c r="B1457" s="5">
        <v>34675</v>
      </c>
      <c r="C1457" s="5">
        <v>43997</v>
      </c>
      <c r="D1457" s="4">
        <v>26</v>
      </c>
      <c r="E1457" s="6" t="str" cm="1">
        <f t="array" ref="E1457">_xlfn.IFS(D1457&lt;=5,"Newcomer",AND(D1457&gt;=6,D1457&lt;=10),"Proficient",D1457&gt;10,"Expert")</f>
        <v>Expert</v>
      </c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 t="str" cm="1">
        <f t="array" ref="M1457">_xlfn.IFS(L1457="Retirement","Voluntary",L1457="Resignation","Voluntary",L1457="Layoff","InVoluntary")</f>
        <v>Voluntary</v>
      </c>
      <c r="N1457" s="4" t="s">
        <v>26</v>
      </c>
      <c r="O1457" s="41"/>
      <c r="P1457">
        <v>1</v>
      </c>
      <c r="Q1457" t="s">
        <v>173</v>
      </c>
    </row>
    <row r="1458" spans="1:17" x14ac:dyDescent="0.35">
      <c r="A1458" s="4">
        <v>8169</v>
      </c>
      <c r="B1458" s="5">
        <v>41490</v>
      </c>
      <c r="C1458" s="5">
        <v>43833</v>
      </c>
      <c r="D1458" s="4">
        <v>7</v>
      </c>
      <c r="E1458" s="6" t="str" cm="1">
        <f t="array" ref="E1458">_xlfn.IFS(D1458&lt;=5,"Newcomer",AND(D1458&gt;=6,D1458&lt;=10),"Proficient",D1458&gt;10,"Expert")</f>
        <v>Proficient</v>
      </c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 t="str" cm="1">
        <f t="array" ref="M1458">_xlfn.IFS(L1458="Retirement","Voluntary",L1458="Resignation","Voluntary",L1458="Layoff","InVoluntary")</f>
        <v>Voluntary</v>
      </c>
      <c r="N1458" s="4" t="s">
        <v>26</v>
      </c>
      <c r="O1458" s="41"/>
      <c r="P1458">
        <v>1</v>
      </c>
      <c r="Q1458" t="s">
        <v>173</v>
      </c>
    </row>
    <row r="1459" spans="1:17" x14ac:dyDescent="0.35">
      <c r="A1459" s="4">
        <v>8170</v>
      </c>
      <c r="B1459" s="5">
        <v>33544</v>
      </c>
      <c r="C1459" s="5">
        <v>44047</v>
      </c>
      <c r="D1459" s="4">
        <v>29</v>
      </c>
      <c r="E1459" s="6" t="str" cm="1">
        <f t="array" ref="E1459">_xlfn.IFS(D1459&lt;=5,"Newcomer",AND(D1459&gt;=6,D1459&lt;=10),"Proficient",D1459&gt;10,"Expert")</f>
        <v>Expert</v>
      </c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 t="str" cm="1">
        <f t="array" ref="M1459">_xlfn.IFS(L1459="Retirement","Voluntary",L1459="Resignation","Voluntary",L1459="Layoff","InVoluntary")</f>
        <v>Voluntary</v>
      </c>
      <c r="N1459" s="4" t="s">
        <v>26</v>
      </c>
      <c r="O1459" s="41"/>
      <c r="P1459">
        <v>1</v>
      </c>
      <c r="Q1459" t="s">
        <v>173</v>
      </c>
    </row>
    <row r="1460" spans="1:17" x14ac:dyDescent="0.35">
      <c r="A1460" s="4">
        <v>8171</v>
      </c>
      <c r="B1460" s="5">
        <v>42004</v>
      </c>
      <c r="C1460" s="5">
        <v>43876</v>
      </c>
      <c r="D1460" s="4">
        <v>6</v>
      </c>
      <c r="E1460" s="6" t="str" cm="1">
        <f t="array" ref="E1460">_xlfn.IFS(D1460&lt;=5,"Newcomer",AND(D1460&gt;=6,D1460&lt;=10),"Proficient",D1460&gt;10,"Expert")</f>
        <v>Proficient</v>
      </c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 t="str" cm="1">
        <f t="array" ref="M1460">_xlfn.IFS(L1460="Retirement","Voluntary",L1460="Resignation","Voluntary",L1460="Layoff","InVoluntary")</f>
        <v>Voluntary</v>
      </c>
      <c r="N1460" s="4" t="s">
        <v>26</v>
      </c>
      <c r="O1460" s="41"/>
      <c r="P1460">
        <v>1</v>
      </c>
      <c r="Q1460" t="s">
        <v>173</v>
      </c>
    </row>
    <row r="1461" spans="1:17" x14ac:dyDescent="0.35">
      <c r="A1461" s="4">
        <v>8172</v>
      </c>
      <c r="B1461" s="5">
        <v>41703</v>
      </c>
      <c r="C1461" s="5">
        <v>43897</v>
      </c>
      <c r="D1461" s="4">
        <v>6</v>
      </c>
      <c r="E1461" s="6" t="str" cm="1">
        <f t="array" ref="E1461">_xlfn.IFS(D1461&lt;=5,"Newcomer",AND(D1461&gt;=6,D1461&lt;=10),"Proficient",D1461&gt;10,"Expert")</f>
        <v>Proficient</v>
      </c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 t="str" cm="1">
        <f t="array" ref="M1461">_xlfn.IFS(L1461="Retirement","Voluntary",L1461="Resignation","Voluntary",L1461="Layoff","InVoluntary")</f>
        <v>Voluntary</v>
      </c>
      <c r="N1461" s="4" t="s">
        <v>26</v>
      </c>
      <c r="O1461" s="41"/>
      <c r="P1461">
        <v>1</v>
      </c>
      <c r="Q1461" t="s">
        <v>173</v>
      </c>
    </row>
    <row r="1462" spans="1:17" x14ac:dyDescent="0.35">
      <c r="A1462" s="4">
        <v>8173</v>
      </c>
      <c r="B1462" s="5">
        <v>33031</v>
      </c>
      <c r="C1462" s="5">
        <v>44055</v>
      </c>
      <c r="D1462" s="4">
        <v>30</v>
      </c>
      <c r="E1462" s="6" t="str" cm="1">
        <f t="array" ref="E1462">_xlfn.IFS(D1462&lt;=5,"Newcomer",AND(D1462&gt;=6,D1462&lt;=10),"Proficient",D1462&gt;10,"Expert")</f>
        <v>Expert</v>
      </c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 t="str" cm="1">
        <f t="array" ref="M1462">_xlfn.IFS(L1462="Retirement","Voluntary",L1462="Resignation","Voluntary",L1462="Layoff","InVoluntary")</f>
        <v>Voluntary</v>
      </c>
      <c r="N1462" s="4" t="s">
        <v>26</v>
      </c>
      <c r="O1462" s="41"/>
      <c r="P1462">
        <v>1</v>
      </c>
      <c r="Q1462" t="s">
        <v>173</v>
      </c>
    </row>
    <row r="1463" spans="1:17" x14ac:dyDescent="0.35">
      <c r="A1463" s="4">
        <v>8174</v>
      </c>
      <c r="B1463" s="5">
        <v>33198</v>
      </c>
      <c r="C1463" s="5">
        <v>44127</v>
      </c>
      <c r="D1463" s="4">
        <v>30</v>
      </c>
      <c r="E1463" s="6" t="str" cm="1">
        <f t="array" ref="E1463">_xlfn.IFS(D1463&lt;=5,"Newcomer",AND(D1463&gt;=6,D1463&lt;=10),"Proficient",D1463&gt;10,"Expert")</f>
        <v>Expert</v>
      </c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 t="str" cm="1">
        <f t="array" ref="M1463">_xlfn.IFS(L1463="Retirement","Voluntary",L1463="Resignation","Voluntary",L1463="Layoff","InVoluntary")</f>
        <v>Voluntary</v>
      </c>
      <c r="N1463" s="4" t="s">
        <v>26</v>
      </c>
      <c r="O1463" s="41"/>
      <c r="P1463">
        <v>1</v>
      </c>
      <c r="Q1463" t="s">
        <v>173</v>
      </c>
    </row>
    <row r="1464" spans="1:17" x14ac:dyDescent="0.35">
      <c r="A1464" s="4">
        <v>8175</v>
      </c>
      <c r="B1464" s="5">
        <v>32894</v>
      </c>
      <c r="C1464" s="5">
        <v>43993</v>
      </c>
      <c r="D1464" s="4">
        <v>30</v>
      </c>
      <c r="E1464" s="6" t="str" cm="1">
        <f t="array" ref="E1464">_xlfn.IFS(D1464&lt;=5,"Newcomer",AND(D1464&gt;=6,D1464&lt;=10),"Proficient",D1464&gt;10,"Expert")</f>
        <v>Expert</v>
      </c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 t="str" cm="1">
        <f t="array" ref="M1464">_xlfn.IFS(L1464="Retirement","Voluntary",L1464="Resignation","Voluntary",L1464="Layoff","InVoluntary")</f>
        <v>Voluntary</v>
      </c>
      <c r="N1464" s="4" t="s">
        <v>26</v>
      </c>
      <c r="O1464" s="41"/>
      <c r="P1464">
        <v>1</v>
      </c>
      <c r="Q1464" t="s">
        <v>173</v>
      </c>
    </row>
    <row r="1465" spans="1:17" x14ac:dyDescent="0.35">
      <c r="A1465" s="4">
        <v>8176</v>
      </c>
      <c r="B1465" s="5">
        <v>41837</v>
      </c>
      <c r="C1465" s="5">
        <v>44088</v>
      </c>
      <c r="D1465" s="4">
        <v>6</v>
      </c>
      <c r="E1465" s="6" t="str" cm="1">
        <f t="array" ref="E1465">_xlfn.IFS(D1465&lt;=5,"Newcomer",AND(D1465&gt;=6,D1465&lt;=10),"Proficient",D1465&gt;10,"Expert")</f>
        <v>Proficient</v>
      </c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 t="str" cm="1">
        <f t="array" ref="M1465">_xlfn.IFS(L1465="Retirement","Voluntary",L1465="Resignation","Voluntary",L1465="Layoff","InVoluntary")</f>
        <v>Voluntary</v>
      </c>
      <c r="N1465" s="4" t="s">
        <v>26</v>
      </c>
      <c r="O1465" s="41"/>
      <c r="P1465">
        <v>1</v>
      </c>
      <c r="Q1465" t="s">
        <v>173</v>
      </c>
    </row>
    <row r="1466" spans="1:17" x14ac:dyDescent="0.35">
      <c r="A1466" s="4">
        <v>8177</v>
      </c>
      <c r="B1466" s="5">
        <v>35333</v>
      </c>
      <c r="C1466" s="5">
        <v>44065</v>
      </c>
      <c r="D1466" s="4">
        <v>24</v>
      </c>
      <c r="E1466" s="6" t="str" cm="1">
        <f t="array" ref="E1466">_xlfn.IFS(D1466&lt;=5,"Newcomer",AND(D1466&gt;=6,D1466&lt;=10),"Proficient",D1466&gt;10,"Expert")</f>
        <v>Expert</v>
      </c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 t="str" cm="1">
        <f t="array" ref="M1466">_xlfn.IFS(L1466="Retirement","Voluntary",L1466="Resignation","Voluntary",L1466="Layoff","InVoluntary")</f>
        <v>Voluntary</v>
      </c>
      <c r="N1466" s="4" t="s">
        <v>26</v>
      </c>
      <c r="O1466" s="41"/>
      <c r="P1466">
        <v>1</v>
      </c>
      <c r="Q1466" t="s">
        <v>173</v>
      </c>
    </row>
    <row r="1467" spans="1:17" x14ac:dyDescent="0.35">
      <c r="A1467" s="4">
        <v>8178</v>
      </c>
      <c r="B1467" s="5">
        <v>38780</v>
      </c>
      <c r="C1467" s="5">
        <v>44045</v>
      </c>
      <c r="D1467" s="4">
        <v>14</v>
      </c>
      <c r="E1467" s="6" t="str" cm="1">
        <f t="array" ref="E1467">_xlfn.IFS(D1467&lt;=5,"Newcomer",AND(D1467&gt;=6,D1467&lt;=10),"Proficient",D1467&gt;10,"Expert")</f>
        <v>Expert</v>
      </c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 t="str" cm="1">
        <f t="array" ref="M1467">_xlfn.IFS(L1467="Retirement","Voluntary",L1467="Resignation","Voluntary",L1467="Layoff","InVoluntary")</f>
        <v>Voluntary</v>
      </c>
      <c r="N1467" s="4" t="s">
        <v>26</v>
      </c>
      <c r="O1467" s="41"/>
      <c r="P1467">
        <v>1</v>
      </c>
      <c r="Q1467" t="s">
        <v>173</v>
      </c>
    </row>
    <row r="1468" spans="1:17" x14ac:dyDescent="0.35">
      <c r="A1468" s="4">
        <v>8179</v>
      </c>
      <c r="B1468" s="5">
        <v>34466</v>
      </c>
      <c r="C1468" s="5">
        <v>44022</v>
      </c>
      <c r="D1468" s="4">
        <v>26</v>
      </c>
      <c r="E1468" s="6" t="str" cm="1">
        <f t="array" ref="E1468">_xlfn.IFS(D1468&lt;=5,"Newcomer",AND(D1468&gt;=6,D1468&lt;=10),"Proficient",D1468&gt;10,"Expert")</f>
        <v>Expert</v>
      </c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 t="str" cm="1">
        <f t="array" ref="M1468">_xlfn.IFS(L1468="Retirement","Voluntary",L1468="Resignation","Voluntary",L1468="Layoff","InVoluntary")</f>
        <v>InVoluntary</v>
      </c>
      <c r="N1468" s="4" t="s">
        <v>26</v>
      </c>
      <c r="O1468" s="41"/>
      <c r="P1468">
        <v>1</v>
      </c>
      <c r="Q1468" t="s">
        <v>174</v>
      </c>
    </row>
    <row r="1469" spans="1:17" x14ac:dyDescent="0.35">
      <c r="A1469" s="4">
        <v>8180</v>
      </c>
      <c r="B1469" s="5">
        <v>34569</v>
      </c>
      <c r="C1469" s="5">
        <v>43931</v>
      </c>
      <c r="D1469" s="4">
        <v>26</v>
      </c>
      <c r="E1469" s="6" t="str" cm="1">
        <f t="array" ref="E1469">_xlfn.IFS(D1469&lt;=5,"Newcomer",AND(D1469&gt;=6,D1469&lt;=10),"Proficient",D1469&gt;10,"Expert")</f>
        <v>Expert</v>
      </c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 t="str" cm="1">
        <f t="array" ref="M1469">_xlfn.IFS(L1469="Retirement","Voluntary",L1469="Resignation","Voluntary",L1469="Layoff","InVoluntary")</f>
        <v>Voluntary</v>
      </c>
      <c r="N1469" s="4" t="s">
        <v>26</v>
      </c>
      <c r="O1469" s="41"/>
      <c r="P1469">
        <v>1</v>
      </c>
      <c r="Q1469" t="s">
        <v>173</v>
      </c>
    </row>
    <row r="1470" spans="1:17" x14ac:dyDescent="0.35">
      <c r="A1470" s="4">
        <v>8181</v>
      </c>
      <c r="B1470" s="5">
        <v>34223</v>
      </c>
      <c r="C1470" s="5">
        <v>43910</v>
      </c>
      <c r="D1470" s="4">
        <v>27</v>
      </c>
      <c r="E1470" s="6" t="str" cm="1">
        <f t="array" ref="E1470">_xlfn.IFS(D1470&lt;=5,"Newcomer",AND(D1470&gt;=6,D1470&lt;=10),"Proficient",D1470&gt;10,"Expert")</f>
        <v>Expert</v>
      </c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 t="str" cm="1">
        <f t="array" ref="M1470">_xlfn.IFS(L1470="Retirement","Voluntary",L1470="Resignation","Voluntary",L1470="Layoff","InVoluntary")</f>
        <v>Voluntary</v>
      </c>
      <c r="N1470" s="4" t="s">
        <v>26</v>
      </c>
      <c r="O1470" s="41"/>
      <c r="P1470">
        <v>1</v>
      </c>
      <c r="Q1470" t="s">
        <v>173</v>
      </c>
    </row>
    <row r="1471" spans="1:17" x14ac:dyDescent="0.35">
      <c r="A1471" s="4">
        <v>8182</v>
      </c>
      <c r="B1471" s="5">
        <v>35655</v>
      </c>
      <c r="C1471" s="5">
        <v>43882</v>
      </c>
      <c r="D1471" s="4">
        <v>23</v>
      </c>
      <c r="E1471" s="6" t="str" cm="1">
        <f t="array" ref="E1471">_xlfn.IFS(D1471&lt;=5,"Newcomer",AND(D1471&gt;=6,D1471&lt;=10),"Proficient",D1471&gt;10,"Expert")</f>
        <v>Expert</v>
      </c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 t="str" cm="1">
        <f t="array" ref="M1471">_xlfn.IFS(L1471="Retirement","Voluntary",L1471="Resignation","Voluntary",L1471="Layoff","InVoluntary")</f>
        <v>Voluntary</v>
      </c>
      <c r="N1471" s="4" t="s">
        <v>26</v>
      </c>
      <c r="O1471" s="41"/>
      <c r="P1471">
        <v>1</v>
      </c>
      <c r="Q1471" t="s">
        <v>173</v>
      </c>
    </row>
    <row r="1472" spans="1:17" x14ac:dyDescent="0.35">
      <c r="A1472" s="4">
        <v>8183</v>
      </c>
      <c r="B1472" s="5">
        <v>37908</v>
      </c>
      <c r="C1472" s="5">
        <v>44179</v>
      </c>
      <c r="D1472" s="4">
        <v>17</v>
      </c>
      <c r="E1472" s="6" t="str" cm="1">
        <f t="array" ref="E1472">_xlfn.IFS(D1472&lt;=5,"Newcomer",AND(D1472&gt;=6,D1472&lt;=10),"Proficient",D1472&gt;10,"Expert")</f>
        <v>Expert</v>
      </c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 t="str" cm="1">
        <f t="array" ref="M1472">_xlfn.IFS(L1472="Retirement","Voluntary",L1472="Resignation","Voluntary",L1472="Layoff","InVoluntary")</f>
        <v>Voluntary</v>
      </c>
      <c r="N1472" s="4" t="s">
        <v>26</v>
      </c>
      <c r="O1472" s="41"/>
      <c r="P1472">
        <v>1</v>
      </c>
      <c r="Q1472" t="s">
        <v>173</v>
      </c>
    </row>
    <row r="1473" spans="1:17" x14ac:dyDescent="0.35">
      <c r="A1473" s="4">
        <v>8184</v>
      </c>
      <c r="B1473" s="5">
        <v>41907</v>
      </c>
      <c r="C1473" s="5">
        <v>43854</v>
      </c>
      <c r="D1473" s="4">
        <v>6</v>
      </c>
      <c r="E1473" s="6" t="str" cm="1">
        <f t="array" ref="E1473">_xlfn.IFS(D1473&lt;=5,"Newcomer",AND(D1473&gt;=6,D1473&lt;=10),"Proficient",D1473&gt;10,"Expert")</f>
        <v>Proficient</v>
      </c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 t="str" cm="1">
        <f t="array" ref="M1473">_xlfn.IFS(L1473="Retirement","Voluntary",L1473="Resignation","Voluntary",L1473="Layoff","InVoluntary")</f>
        <v>Voluntary</v>
      </c>
      <c r="N1473" s="4" t="s">
        <v>26</v>
      </c>
      <c r="O1473" s="41"/>
      <c r="P1473">
        <v>1</v>
      </c>
      <c r="Q1473" t="s">
        <v>173</v>
      </c>
    </row>
    <row r="1474" spans="1:17" x14ac:dyDescent="0.35">
      <c r="A1474" s="4">
        <v>8185</v>
      </c>
      <c r="B1474" s="5">
        <v>34662</v>
      </c>
      <c r="C1474" s="5">
        <v>44171</v>
      </c>
      <c r="D1474" s="4">
        <v>26</v>
      </c>
      <c r="E1474" s="6" t="str" cm="1">
        <f t="array" ref="E1474">_xlfn.IFS(D1474&lt;=5,"Newcomer",AND(D1474&gt;=6,D1474&lt;=10),"Proficient",D1474&gt;10,"Expert")</f>
        <v>Expert</v>
      </c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 t="str" cm="1">
        <f t="array" ref="M1474">_xlfn.IFS(L1474="Retirement","Voluntary",L1474="Resignation","Voluntary",L1474="Layoff","InVoluntary")</f>
        <v>Voluntary</v>
      </c>
      <c r="N1474" s="4" t="s">
        <v>26</v>
      </c>
      <c r="O1474" s="41"/>
      <c r="P1474">
        <v>1</v>
      </c>
      <c r="Q1474" t="s">
        <v>173</v>
      </c>
    </row>
    <row r="1475" spans="1:17" x14ac:dyDescent="0.35">
      <c r="A1475" s="4">
        <v>8186</v>
      </c>
      <c r="B1475" s="5">
        <v>40915</v>
      </c>
      <c r="C1475" s="5">
        <v>43974</v>
      </c>
      <c r="D1475" s="4">
        <v>8</v>
      </c>
      <c r="E1475" s="6" t="str" cm="1">
        <f t="array" ref="E1475">_xlfn.IFS(D1475&lt;=5,"Newcomer",AND(D1475&gt;=6,D1475&lt;=10),"Proficient",D1475&gt;10,"Expert")</f>
        <v>Proficient</v>
      </c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 t="str" cm="1">
        <f t="array" ref="M1475">_xlfn.IFS(L1475="Retirement","Voluntary",L1475="Resignation","Voluntary",L1475="Layoff","InVoluntary")</f>
        <v>Voluntary</v>
      </c>
      <c r="N1475" s="4" t="s">
        <v>26</v>
      </c>
      <c r="O1475" s="41"/>
      <c r="P1475">
        <v>1</v>
      </c>
      <c r="Q1475" t="s">
        <v>173</v>
      </c>
    </row>
    <row r="1476" spans="1:17" x14ac:dyDescent="0.35">
      <c r="A1476" s="4">
        <v>8187</v>
      </c>
      <c r="B1476" s="5">
        <v>39377</v>
      </c>
      <c r="C1476" s="5">
        <v>43891</v>
      </c>
      <c r="D1476" s="4">
        <v>13</v>
      </c>
      <c r="E1476" s="6" t="str" cm="1">
        <f t="array" ref="E1476">_xlfn.IFS(D1476&lt;=5,"Newcomer",AND(D1476&gt;=6,D1476&lt;=10),"Proficient",D1476&gt;10,"Expert")</f>
        <v>Expert</v>
      </c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 t="str" cm="1">
        <f t="array" ref="M1476">_xlfn.IFS(L1476="Retirement","Voluntary",L1476="Resignation","Voluntary",L1476="Layoff","InVoluntary")</f>
        <v>Voluntary</v>
      </c>
      <c r="N1476" s="4" t="s">
        <v>26</v>
      </c>
      <c r="O1476" s="41"/>
      <c r="P1476">
        <v>1</v>
      </c>
      <c r="Q1476" t="s">
        <v>173</v>
      </c>
    </row>
    <row r="1477" spans="1:17" x14ac:dyDescent="0.35">
      <c r="A1477" s="4">
        <v>8188</v>
      </c>
      <c r="B1477" s="5">
        <v>37388</v>
      </c>
      <c r="C1477" s="5">
        <v>43901</v>
      </c>
      <c r="D1477" s="4">
        <v>18</v>
      </c>
      <c r="E1477" s="6" t="str" cm="1">
        <f t="array" ref="E1477">_xlfn.IFS(D1477&lt;=5,"Newcomer",AND(D1477&gt;=6,D1477&lt;=10),"Proficient",D1477&gt;10,"Expert")</f>
        <v>Expert</v>
      </c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 t="str" cm="1">
        <f t="array" ref="M1477">_xlfn.IFS(L1477="Retirement","Voluntary",L1477="Resignation","Voluntary",L1477="Layoff","InVoluntary")</f>
        <v>Voluntary</v>
      </c>
      <c r="N1477" s="4" t="s">
        <v>26</v>
      </c>
      <c r="O1477" s="41"/>
      <c r="P1477">
        <v>1</v>
      </c>
      <c r="Q1477" t="s">
        <v>173</v>
      </c>
    </row>
    <row r="1478" spans="1:17" x14ac:dyDescent="0.35">
      <c r="A1478" s="4">
        <v>8214</v>
      </c>
      <c r="B1478" s="5">
        <v>33050</v>
      </c>
      <c r="C1478" s="5">
        <v>44116</v>
      </c>
      <c r="D1478" s="4">
        <v>30</v>
      </c>
      <c r="E1478" s="6" t="str" cm="1">
        <f t="array" ref="E1478">_xlfn.IFS(D1478&lt;=5,"Newcomer",AND(D1478&gt;=6,D1478&lt;=10),"Proficient",D1478&gt;10,"Expert")</f>
        <v>Expert</v>
      </c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 t="str" cm="1">
        <f t="array" ref="M1478">_xlfn.IFS(L1478="Retirement","Voluntary",L1478="Resignation","Voluntary",L1478="Layoff","InVoluntary")</f>
        <v>InVoluntary</v>
      </c>
      <c r="N1478" s="4" t="s">
        <v>26</v>
      </c>
      <c r="O1478" s="41"/>
      <c r="P1478">
        <v>1</v>
      </c>
      <c r="Q1478" t="s">
        <v>174</v>
      </c>
    </row>
    <row r="1479" spans="1:17" x14ac:dyDescent="0.35">
      <c r="A1479" s="4">
        <v>8223</v>
      </c>
      <c r="B1479" s="5">
        <v>32998</v>
      </c>
      <c r="C1479" s="5">
        <v>44110</v>
      </c>
      <c r="D1479" s="4">
        <v>30</v>
      </c>
      <c r="E1479" s="6" t="str" cm="1">
        <f t="array" ref="E1479">_xlfn.IFS(D1479&lt;=5,"Newcomer",AND(D1479&gt;=6,D1479&lt;=10),"Proficient",D1479&gt;10,"Expert")</f>
        <v>Expert</v>
      </c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 t="str" cm="1">
        <f t="array" ref="M1479">_xlfn.IFS(L1479="Retirement","Voluntary",L1479="Resignation","Voluntary",L1479="Layoff","InVoluntary")</f>
        <v>Voluntary</v>
      </c>
      <c r="N1479" s="4" t="s">
        <v>26</v>
      </c>
      <c r="O1479" s="41"/>
      <c r="P1479">
        <v>1</v>
      </c>
      <c r="Q1479" t="s">
        <v>173</v>
      </c>
    </row>
    <row r="1480" spans="1:17" x14ac:dyDescent="0.35">
      <c r="A1480" s="4">
        <v>8226</v>
      </c>
      <c r="B1480" s="5">
        <v>37038</v>
      </c>
      <c r="C1480" s="5">
        <v>43933</v>
      </c>
      <c r="D1480" s="4">
        <v>19</v>
      </c>
      <c r="E1480" s="6" t="str" cm="1">
        <f t="array" ref="E1480">_xlfn.IFS(D1480&lt;=5,"Newcomer",AND(D1480&gt;=6,D1480&lt;=10),"Proficient",D1480&gt;10,"Expert")</f>
        <v>Expert</v>
      </c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 t="str" cm="1">
        <f t="array" ref="M1480">_xlfn.IFS(L1480="Retirement","Voluntary",L1480="Resignation","Voluntary",L1480="Layoff","InVoluntary")</f>
        <v>Voluntary</v>
      </c>
      <c r="N1480" s="4" t="s">
        <v>26</v>
      </c>
      <c r="O1480" s="41"/>
      <c r="P1480">
        <v>1</v>
      </c>
      <c r="Q1480" t="s">
        <v>173</v>
      </c>
    </row>
    <row r="1481" spans="1:17" x14ac:dyDescent="0.35">
      <c r="A1481" s="4">
        <v>8231</v>
      </c>
      <c r="B1481" s="5">
        <v>41506</v>
      </c>
      <c r="C1481" s="5">
        <v>43925</v>
      </c>
      <c r="D1481" s="4">
        <v>7</v>
      </c>
      <c r="E1481" s="6" t="str" cm="1">
        <f t="array" ref="E1481">_xlfn.IFS(D1481&lt;=5,"Newcomer",AND(D1481&gt;=6,D1481&lt;=10),"Proficient",D1481&gt;10,"Expert")</f>
        <v>Proficient</v>
      </c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 t="str" cm="1">
        <f t="array" ref="M1481">_xlfn.IFS(L1481="Retirement","Voluntary",L1481="Resignation","Voluntary",L1481="Layoff","InVoluntary")</f>
        <v>InVoluntary</v>
      </c>
      <c r="N1481" s="4" t="s">
        <v>26</v>
      </c>
      <c r="O1481" s="41"/>
      <c r="P1481">
        <v>1</v>
      </c>
      <c r="Q1481" t="s">
        <v>174</v>
      </c>
    </row>
    <row r="1482" spans="1:17" x14ac:dyDescent="0.35">
      <c r="A1482" s="4">
        <v>8258</v>
      </c>
      <c r="B1482" s="5">
        <v>36603</v>
      </c>
      <c r="C1482" s="5">
        <v>43873</v>
      </c>
      <c r="D1482" s="4">
        <v>20</v>
      </c>
      <c r="E1482" s="6" t="str" cm="1">
        <f t="array" ref="E1482">_xlfn.IFS(D1482&lt;=5,"Newcomer",AND(D1482&gt;=6,D1482&lt;=10),"Proficient",D1482&gt;10,"Expert")</f>
        <v>Expert</v>
      </c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 t="str" cm="1">
        <f t="array" ref="M1482">_xlfn.IFS(L1482="Retirement","Voluntary",L1482="Resignation","Voluntary",L1482="Layoff","InVoluntary")</f>
        <v>InVoluntary</v>
      </c>
      <c r="N1482" s="4" t="s">
        <v>26</v>
      </c>
      <c r="O1482" s="41"/>
      <c r="P1482">
        <v>1</v>
      </c>
      <c r="Q1482" t="s">
        <v>174</v>
      </c>
    </row>
    <row r="1483" spans="1:17" x14ac:dyDescent="0.35">
      <c r="A1483" s="4">
        <v>8264</v>
      </c>
      <c r="B1483" s="5">
        <v>34402</v>
      </c>
      <c r="C1483" s="5">
        <v>43988</v>
      </c>
      <c r="D1483" s="4">
        <v>26</v>
      </c>
      <c r="E1483" s="6" t="str" cm="1">
        <f t="array" ref="E1483">_xlfn.IFS(D1483&lt;=5,"Newcomer",AND(D1483&gt;=6,D1483&lt;=10),"Proficient",D1483&gt;10,"Expert")</f>
        <v>Expert</v>
      </c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 t="str" cm="1">
        <f t="array" ref="M1483">_xlfn.IFS(L1483="Retirement","Voluntary",L1483="Resignation","Voluntary",L1483="Layoff","InVoluntary")</f>
        <v>Voluntary</v>
      </c>
      <c r="N1483" s="4" t="s">
        <v>26</v>
      </c>
      <c r="O1483" s="41"/>
      <c r="P1483">
        <v>1</v>
      </c>
      <c r="Q1483" t="s">
        <v>173</v>
      </c>
    </row>
    <row r="1484" spans="1:17" x14ac:dyDescent="0.35">
      <c r="A1484" s="4">
        <v>8279</v>
      </c>
      <c r="B1484" s="5">
        <v>34853</v>
      </c>
      <c r="C1484" s="5">
        <v>43885</v>
      </c>
      <c r="D1484" s="4">
        <v>25</v>
      </c>
      <c r="E1484" s="6" t="str" cm="1">
        <f t="array" ref="E1484">_xlfn.IFS(D1484&lt;=5,"Newcomer",AND(D1484&gt;=6,D1484&lt;=10),"Proficient",D1484&gt;10,"Expert")</f>
        <v>Expert</v>
      </c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 t="str" cm="1">
        <f t="array" ref="M1484">_xlfn.IFS(L1484="Retirement","Voluntary",L1484="Resignation","Voluntary",L1484="Layoff","InVoluntary")</f>
        <v>InVoluntary</v>
      </c>
      <c r="N1484" s="4" t="s">
        <v>26</v>
      </c>
      <c r="O1484" s="41"/>
      <c r="P1484">
        <v>1</v>
      </c>
      <c r="Q1484" t="s">
        <v>174</v>
      </c>
    </row>
    <row r="1485" spans="1:17" x14ac:dyDescent="0.35">
      <c r="A1485" s="4">
        <v>8296</v>
      </c>
      <c r="B1485" s="5">
        <v>34986</v>
      </c>
      <c r="C1485" s="5">
        <v>44192</v>
      </c>
      <c r="D1485" s="4">
        <v>25</v>
      </c>
      <c r="E1485" s="6" t="str" cm="1">
        <f t="array" ref="E1485">_xlfn.IFS(D1485&lt;=5,"Newcomer",AND(D1485&gt;=6,D1485&lt;=10),"Proficient",D1485&gt;10,"Expert")</f>
        <v>Expert</v>
      </c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 t="str" cm="1">
        <f t="array" ref="M1485">_xlfn.IFS(L1485="Retirement","Voluntary",L1485="Resignation","Voluntary",L1485="Layoff","InVoluntary")</f>
        <v>Voluntary</v>
      </c>
      <c r="N1485" s="4" t="s">
        <v>26</v>
      </c>
      <c r="O1485" s="41"/>
      <c r="P1485">
        <v>1</v>
      </c>
      <c r="Q1485" t="s">
        <v>173</v>
      </c>
    </row>
    <row r="1486" spans="1:17" x14ac:dyDescent="0.35">
      <c r="A1486" s="4">
        <v>8321</v>
      </c>
      <c r="B1486" s="5">
        <v>37253</v>
      </c>
      <c r="C1486" s="5">
        <v>44119</v>
      </c>
      <c r="D1486" s="4">
        <v>19</v>
      </c>
      <c r="E1486" s="6" t="str" cm="1">
        <f t="array" ref="E1486">_xlfn.IFS(D1486&lt;=5,"Newcomer",AND(D1486&gt;=6,D1486&lt;=10),"Proficient",D1486&gt;10,"Expert")</f>
        <v>Expert</v>
      </c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 t="str" cm="1">
        <f t="array" ref="M1486">_xlfn.IFS(L1486="Retirement","Voluntary",L1486="Resignation","Voluntary",L1486="Layoff","InVoluntary")</f>
        <v>InVoluntary</v>
      </c>
      <c r="N1486" s="4" t="s">
        <v>26</v>
      </c>
      <c r="O1486" s="41"/>
      <c r="P1486">
        <v>1</v>
      </c>
      <c r="Q1486" t="s">
        <v>174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/>
  </sheetViews>
  <sheetFormatPr defaultRowHeight="14.5" x14ac:dyDescent="0.35"/>
  <cols>
    <col min="1" max="1" width="8.90625" style="20"/>
    <col min="2" max="2" width="94.08984375" bestFit="1" customWidth="1"/>
    <col min="3" max="3" width="26" bestFit="1" customWidth="1"/>
    <col min="4" max="4" width="52.1796875" bestFit="1" customWidth="1"/>
  </cols>
  <sheetData>
    <row r="1" spans="1:3" x14ac:dyDescent="0.35">
      <c r="A1" s="20" t="s">
        <v>119</v>
      </c>
    </row>
    <row r="3" spans="1:3" x14ac:dyDescent="0.35">
      <c r="A3" s="20" t="s">
        <v>120</v>
      </c>
    </row>
    <row r="4" spans="1:3" x14ac:dyDescent="0.35">
      <c r="B4" t="s">
        <v>122</v>
      </c>
      <c r="C4" s="12">
        <v>1485</v>
      </c>
    </row>
    <row r="5" spans="1:3" x14ac:dyDescent="0.35">
      <c r="C5" s="8"/>
    </row>
    <row r="6" spans="1:3" x14ac:dyDescent="0.35">
      <c r="A6" s="20" t="s">
        <v>121</v>
      </c>
      <c r="C6" s="8"/>
    </row>
    <row r="7" spans="1:3" x14ac:dyDescent="0.35">
      <c r="B7" t="s">
        <v>123</v>
      </c>
      <c r="C7" s="11">
        <v>7.0000000000000007E-2</v>
      </c>
    </row>
    <row r="8" spans="1:3" x14ac:dyDescent="0.35">
      <c r="B8" t="s">
        <v>124</v>
      </c>
      <c r="C8" s="21">
        <f>C4+C7*C4</f>
        <v>1588.95</v>
      </c>
    </row>
    <row r="10" spans="1:3" ht="15" thickBot="1" x14ac:dyDescent="0.4">
      <c r="A10" s="20" t="s">
        <v>125</v>
      </c>
    </row>
    <row r="11" spans="1:3" x14ac:dyDescent="0.35">
      <c r="B11" s="14" t="s">
        <v>126</v>
      </c>
      <c r="C11" s="15" t="s">
        <v>127</v>
      </c>
    </row>
    <row r="12" spans="1:3" x14ac:dyDescent="0.35">
      <c r="B12" s="17">
        <v>0.04</v>
      </c>
      <c r="C12" s="13">
        <f>$C$4+(B12*$C$4)</f>
        <v>1544.4</v>
      </c>
    </row>
    <row r="13" spans="1:3" x14ac:dyDescent="0.35">
      <c r="B13" s="17">
        <v>4.4999999999999998E-2</v>
      </c>
      <c r="C13" s="13">
        <f t="shared" ref="C13:C24" si="0">$C$4+(B13*$C$4)</f>
        <v>1551.825</v>
      </c>
    </row>
    <row r="14" spans="1:3" x14ac:dyDescent="0.35">
      <c r="B14" s="17">
        <v>0.05</v>
      </c>
      <c r="C14" s="13">
        <f t="shared" si="0"/>
        <v>1559.25</v>
      </c>
    </row>
    <row r="15" spans="1:3" x14ac:dyDescent="0.35">
      <c r="B15" s="17">
        <v>5.5E-2</v>
      </c>
      <c r="C15" s="13">
        <f t="shared" si="0"/>
        <v>1566.675</v>
      </c>
    </row>
    <row r="16" spans="1:3" x14ac:dyDescent="0.35">
      <c r="B16" s="17">
        <v>0.06</v>
      </c>
      <c r="C16" s="13">
        <f t="shared" si="0"/>
        <v>1574.1</v>
      </c>
    </row>
    <row r="17" spans="1:3" x14ac:dyDescent="0.35">
      <c r="B17" s="17">
        <v>6.5000000000000002E-2</v>
      </c>
      <c r="C17" s="13">
        <f t="shared" si="0"/>
        <v>1581.5250000000001</v>
      </c>
    </row>
    <row r="18" spans="1:3" x14ac:dyDescent="0.35">
      <c r="B18" s="17">
        <v>7.0000000000000007E-2</v>
      </c>
      <c r="C18" s="13">
        <f t="shared" si="0"/>
        <v>1588.95</v>
      </c>
    </row>
    <row r="19" spans="1:3" x14ac:dyDescent="0.35">
      <c r="B19" s="17">
        <v>7.4999999999999997E-2</v>
      </c>
      <c r="C19" s="13">
        <f t="shared" si="0"/>
        <v>1596.375</v>
      </c>
    </row>
    <row r="20" spans="1:3" x14ac:dyDescent="0.35">
      <c r="B20" s="17">
        <v>0.08</v>
      </c>
      <c r="C20" s="13">
        <f t="shared" si="0"/>
        <v>1603.8</v>
      </c>
    </row>
    <row r="21" spans="1:3" x14ac:dyDescent="0.35">
      <c r="B21" s="17">
        <v>8.5000000000000006E-2</v>
      </c>
      <c r="C21" s="13">
        <f t="shared" si="0"/>
        <v>1611.2249999999999</v>
      </c>
    </row>
    <row r="22" spans="1:3" x14ac:dyDescent="0.35">
      <c r="B22" s="17">
        <v>0.09</v>
      </c>
      <c r="C22" s="13">
        <f t="shared" si="0"/>
        <v>1618.65</v>
      </c>
    </row>
    <row r="23" spans="1:3" x14ac:dyDescent="0.35">
      <c r="B23" s="17">
        <v>9.5000000000000001E-2</v>
      </c>
      <c r="C23" s="13">
        <f t="shared" si="0"/>
        <v>1626.075</v>
      </c>
    </row>
    <row r="24" spans="1:3" ht="15" thickBot="1" x14ac:dyDescent="0.4">
      <c r="B24" s="16">
        <v>0.1</v>
      </c>
      <c r="C24" s="13">
        <f t="shared" si="0"/>
        <v>1633.5</v>
      </c>
    </row>
    <row r="26" spans="1:3" x14ac:dyDescent="0.35">
      <c r="A26" s="20" t="s">
        <v>128</v>
      </c>
    </row>
    <row r="27" spans="1:3" ht="15" thickBot="1" x14ac:dyDescent="0.4">
      <c r="B27" t="s">
        <v>129</v>
      </c>
    </row>
    <row r="28" spans="1:3" x14ac:dyDescent="0.35">
      <c r="B28" s="14" t="s">
        <v>126</v>
      </c>
      <c r="C28" s="15" t="s">
        <v>127</v>
      </c>
    </row>
    <row r="29" spans="1:3" x14ac:dyDescent="0.35">
      <c r="B29" s="17">
        <v>4.4999999999999998E-2</v>
      </c>
      <c r="C29" s="13">
        <f>_xlfn.XLOOKUP(B29,B12:B24,C12:C24,"Not available",0,1)</f>
        <v>1551.825</v>
      </c>
    </row>
    <row r="31" spans="1:3" x14ac:dyDescent="0.35">
      <c r="A31" s="20" t="s">
        <v>130</v>
      </c>
    </row>
    <row r="32" spans="1:3" ht="15" thickBot="1" x14ac:dyDescent="0.4">
      <c r="B32" s="10" t="s">
        <v>122</v>
      </c>
    </row>
    <row r="33" spans="1:5" x14ac:dyDescent="0.35">
      <c r="B33" s="14" t="s">
        <v>131</v>
      </c>
      <c r="C33" s="15" t="s">
        <v>132</v>
      </c>
    </row>
    <row r="34" spans="1:5" x14ac:dyDescent="0.35">
      <c r="B34" s="9" t="s">
        <v>96</v>
      </c>
      <c r="C34" s="39">
        <v>708</v>
      </c>
    </row>
    <row r="35" spans="1:5" x14ac:dyDescent="0.35">
      <c r="B35" s="9" t="s">
        <v>50</v>
      </c>
      <c r="C35" s="39">
        <v>385</v>
      </c>
    </row>
    <row r="36" spans="1:5" x14ac:dyDescent="0.35">
      <c r="B36" s="9" t="s">
        <v>19</v>
      </c>
      <c r="C36" s="39">
        <v>392</v>
      </c>
    </row>
    <row r="38" spans="1:5" ht="15" thickBot="1" x14ac:dyDescent="0.4">
      <c r="B38" s="18" t="s">
        <v>133</v>
      </c>
    </row>
    <row r="39" spans="1:5" x14ac:dyDescent="0.35">
      <c r="B39" s="14" t="s">
        <v>131</v>
      </c>
      <c r="C39" s="15" t="s">
        <v>132</v>
      </c>
    </row>
    <row r="40" spans="1:5" x14ac:dyDescent="0.35">
      <c r="B40" s="9" t="str">
        <f>_xlfn.XLOOKUP(MAX(C34:C36),C34:C36,B34:B36,"NA",0,1)</f>
        <v>Layoff</v>
      </c>
      <c r="C40" s="39">
        <v>708</v>
      </c>
    </row>
    <row r="42" spans="1:5" x14ac:dyDescent="0.35">
      <c r="A42" s="20" t="s">
        <v>134</v>
      </c>
      <c r="B42" t="s">
        <v>135</v>
      </c>
      <c r="C42" t="s">
        <v>171</v>
      </c>
    </row>
    <row r="44" spans="1:5" x14ac:dyDescent="0.35">
      <c r="B44" t="s">
        <v>136</v>
      </c>
    </row>
    <row r="45" spans="1:5" x14ac:dyDescent="0.35">
      <c r="B45" t="s">
        <v>137</v>
      </c>
      <c r="C45" s="19">
        <v>1485</v>
      </c>
    </row>
    <row r="46" spans="1:5" x14ac:dyDescent="0.35">
      <c r="B46" t="s">
        <v>138</v>
      </c>
      <c r="C46" s="8">
        <v>777</v>
      </c>
      <c r="D46" t="s">
        <v>176</v>
      </c>
    </row>
    <row r="47" spans="1:5" x14ac:dyDescent="0.35">
      <c r="B47" s="10" t="s">
        <v>139</v>
      </c>
      <c r="C47" s="22">
        <v>5.1999999999999998E-3</v>
      </c>
      <c r="D47" t="s">
        <v>177</v>
      </c>
      <c r="E47" t="s">
        <v>172</v>
      </c>
    </row>
    <row r="49" spans="1:3" x14ac:dyDescent="0.35">
      <c r="A49" s="20" t="s">
        <v>140</v>
      </c>
      <c r="B49" s="28" t="s">
        <v>178</v>
      </c>
    </row>
    <row r="50" spans="1:3" x14ac:dyDescent="0.35">
      <c r="B50" s="42" t="s">
        <v>179</v>
      </c>
    </row>
    <row r="51" spans="1:3" x14ac:dyDescent="0.35">
      <c r="B51" s="42" t="s">
        <v>180</v>
      </c>
    </row>
    <row r="52" spans="1:3" x14ac:dyDescent="0.35">
      <c r="B52" s="42" t="s">
        <v>181</v>
      </c>
    </row>
    <row r="53" spans="1:3" x14ac:dyDescent="0.35">
      <c r="B53" s="43" t="s">
        <v>166</v>
      </c>
      <c r="C53" t="s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46738-B412-449D-A98C-BABCC07FFA85}">
  <dimension ref="A4:B8"/>
  <sheetViews>
    <sheetView workbookViewId="0">
      <selection activeCell="D10" sqref="D10"/>
    </sheetView>
  </sheetViews>
  <sheetFormatPr defaultRowHeight="14.5" x14ac:dyDescent="0.35"/>
  <cols>
    <col min="1" max="1" width="12.36328125" bestFit="1" customWidth="1"/>
    <col min="2" max="2" width="23.36328125" bestFit="1" customWidth="1"/>
    <col min="3" max="1485" width="15.36328125" bestFit="1" customWidth="1"/>
    <col min="1486" max="1486" width="10.7265625" bestFit="1" customWidth="1"/>
  </cols>
  <sheetData>
    <row r="4" spans="1:2" x14ac:dyDescent="0.35">
      <c r="A4" s="38" t="s">
        <v>168</v>
      </c>
      <c r="B4" t="s">
        <v>170</v>
      </c>
    </row>
    <row r="5" spans="1:2" x14ac:dyDescent="0.35">
      <c r="A5" s="9" t="s">
        <v>96</v>
      </c>
      <c r="B5" s="39">
        <v>708</v>
      </c>
    </row>
    <row r="6" spans="1:2" x14ac:dyDescent="0.35">
      <c r="A6" s="9" t="s">
        <v>50</v>
      </c>
      <c r="B6" s="39">
        <v>385</v>
      </c>
    </row>
    <row r="7" spans="1:2" x14ac:dyDescent="0.35">
      <c r="A7" s="9" t="s">
        <v>19</v>
      </c>
      <c r="B7" s="39">
        <v>392</v>
      </c>
    </row>
    <row r="8" spans="1:2" x14ac:dyDescent="0.35">
      <c r="A8" s="9" t="s">
        <v>169</v>
      </c>
      <c r="B8" s="39">
        <v>1485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C5632-D093-4D6A-B2B0-1C98DA1010FD}">
  <dimension ref="A1:E33"/>
  <sheetViews>
    <sheetView workbookViewId="0">
      <selection activeCell="A20" sqref="A20"/>
    </sheetView>
  </sheetViews>
  <sheetFormatPr defaultRowHeight="14.5" x14ac:dyDescent="0.35"/>
  <cols>
    <col min="1" max="1" width="186.90625" bestFit="1" customWidth="1"/>
  </cols>
  <sheetData>
    <row r="1" spans="1:4" ht="17.5" x14ac:dyDescent="0.35">
      <c r="A1" s="23" t="s">
        <v>141</v>
      </c>
    </row>
    <row r="2" spans="1:4" x14ac:dyDescent="0.35">
      <c r="A2" s="24" t="s">
        <v>142</v>
      </c>
    </row>
    <row r="3" spans="1:4" x14ac:dyDescent="0.35">
      <c r="A3" s="24"/>
    </row>
    <row r="4" spans="1:4" ht="17.5" x14ac:dyDescent="0.35">
      <c r="A4" s="26" t="s">
        <v>143</v>
      </c>
    </row>
    <row r="5" spans="1:4" x14ac:dyDescent="0.35">
      <c r="A5" s="27" t="s">
        <v>144</v>
      </c>
      <c r="D5" s="27" t="s">
        <v>145</v>
      </c>
    </row>
    <row r="6" spans="1:4" x14ac:dyDescent="0.35">
      <c r="A6" s="28" t="s">
        <v>146</v>
      </c>
    </row>
    <row r="7" spans="1:4" x14ac:dyDescent="0.35">
      <c r="A7" s="29" t="s">
        <v>147</v>
      </c>
    </row>
    <row r="8" spans="1:4" x14ac:dyDescent="0.35">
      <c r="A8" s="28" t="s">
        <v>148</v>
      </c>
    </row>
    <row r="9" spans="1:4" x14ac:dyDescent="0.35">
      <c r="A9" s="30"/>
    </row>
    <row r="10" spans="1:4" x14ac:dyDescent="0.35">
      <c r="A10" s="27" t="s">
        <v>149</v>
      </c>
    </row>
    <row r="11" spans="1:4" x14ac:dyDescent="0.35">
      <c r="A11" s="24" t="s">
        <v>150</v>
      </c>
    </row>
    <row r="12" spans="1:4" x14ac:dyDescent="0.35">
      <c r="A12" s="28" t="s">
        <v>151</v>
      </c>
    </row>
    <row r="13" spans="1:4" x14ac:dyDescent="0.35">
      <c r="A13" s="28" t="s">
        <v>152</v>
      </c>
    </row>
    <row r="14" spans="1:4" x14ac:dyDescent="0.35">
      <c r="A14" s="25" t="s">
        <v>153</v>
      </c>
    </row>
    <row r="15" spans="1:4" x14ac:dyDescent="0.35">
      <c r="A15" s="28" t="s">
        <v>154</v>
      </c>
    </row>
    <row r="16" spans="1:4" x14ac:dyDescent="0.35">
      <c r="A16" s="31" t="s">
        <v>155</v>
      </c>
    </row>
    <row r="17" spans="1:5" x14ac:dyDescent="0.35">
      <c r="A17" s="32" t="s">
        <v>156</v>
      </c>
      <c r="E17" s="32" t="s">
        <v>157</v>
      </c>
    </row>
    <row r="18" spans="1:5" x14ac:dyDescent="0.35">
      <c r="A18" s="28" t="s">
        <v>158</v>
      </c>
    </row>
    <row r="19" spans="1:5" x14ac:dyDescent="0.35">
      <c r="A19" s="33" t="s">
        <v>159</v>
      </c>
    </row>
    <row r="20" spans="1:5" x14ac:dyDescent="0.35">
      <c r="A20" s="33" t="s">
        <v>160</v>
      </c>
    </row>
    <row r="21" spans="1:5" x14ac:dyDescent="0.35">
      <c r="A21" s="34" t="s">
        <v>161</v>
      </c>
    </row>
    <row r="22" spans="1:5" x14ac:dyDescent="0.35">
      <c r="A22" s="32"/>
    </row>
    <row r="23" spans="1:5" x14ac:dyDescent="0.35">
      <c r="A23" s="28" t="s">
        <v>162</v>
      </c>
    </row>
    <row r="24" spans="1:5" x14ac:dyDescent="0.35">
      <c r="A24" s="35" t="s">
        <v>163</v>
      </c>
    </row>
    <row r="25" spans="1:5" x14ac:dyDescent="0.35">
      <c r="A25" s="35" t="s">
        <v>164</v>
      </c>
    </row>
    <row r="26" spans="1:5" x14ac:dyDescent="0.35">
      <c r="A26" s="35" t="s">
        <v>165</v>
      </c>
    </row>
    <row r="27" spans="1:5" x14ac:dyDescent="0.35">
      <c r="A27" s="36" t="s">
        <v>166</v>
      </c>
    </row>
    <row r="28" spans="1:5" x14ac:dyDescent="0.35">
      <c r="A28" s="27"/>
    </row>
    <row r="29" spans="1:5" x14ac:dyDescent="0.35">
      <c r="A29" s="27"/>
    </row>
    <row r="30" spans="1:5" x14ac:dyDescent="0.35">
      <c r="A30" s="24"/>
    </row>
    <row r="31" spans="1:5" x14ac:dyDescent="0.35">
      <c r="A31" s="24"/>
    </row>
    <row r="32" spans="1:5" x14ac:dyDescent="0.35">
      <c r="A32" s="37" t="s">
        <v>167</v>
      </c>
    </row>
    <row r="33" spans="1:1" x14ac:dyDescent="0.35">
      <c r="A3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Solutions</vt:lpstr>
      <vt:lpstr>Pivot_termreason_desc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Vanitha Rosy V A</cp:lastModifiedBy>
  <dcterms:created xsi:type="dcterms:W3CDTF">2022-04-06T06:28:55Z</dcterms:created>
  <dcterms:modified xsi:type="dcterms:W3CDTF">2026-05-28T07:47:04Z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